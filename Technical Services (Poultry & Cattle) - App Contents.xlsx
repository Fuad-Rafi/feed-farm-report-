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Sheet13" sheetId="2" r:id="rId6"/>
    <sheet state="visible" name="Sheet12" sheetId="3" r:id="rId7"/>
    <sheet state="visible" name="Farm visit contents" sheetId="4" r:id="rId8"/>
    <sheet state="visible" name="Sheet10" sheetId="5" r:id="rId9"/>
    <sheet state="visible" name="Necessary info" sheetId="6" r:id="rId10"/>
    <sheet state="visible" name="Breed name and type" sheetId="7" r:id="rId11"/>
    <sheet state="visible" name="Feed Name" sheetId="8" r:id="rId12"/>
    <sheet state="visible" name="Farm condition Graph for Broile" sheetId="9" r:id="rId13"/>
    <sheet state="visible" name="Farm condition Graph for Layer" sheetId="10" r:id="rId14"/>
    <sheet state="visible" name="kpi data" sheetId="11" r:id="rId15"/>
    <sheet state="visible" name="Correction - app info" sheetId="12" r:id="rId16"/>
    <sheet state="visible" name="Broiler Performance Standard" sheetId="13" r:id="rId17"/>
    <sheet state="visible" name="Brown layer performance standar" sheetId="14" r:id="rId18"/>
    <sheet state="visible" name="White layer performance standar" sheetId="15" r:id="rId19"/>
    <sheet state="visible" name="Farmers Cost - Benefit -Broiler" sheetId="16" r:id="rId20"/>
    <sheet state="visible" name="Farmers cost benefit - Layer" sheetId="17" r:id="rId21"/>
    <sheet state="visible" name="Prescription contents" sheetId="18" r:id="rId22"/>
  </sheets>
  <definedNames>
    <definedName hidden="1" localSheetId="6" name="_xlnm._FilterDatabase">'Breed name and type'!$A$1:$C$38</definedName>
    <definedName hidden="1" localSheetId="7" name="_xlnm._FilterDatabase">'Feed Name'!$B$2:$C$44</definedName>
  </definedNames>
  <calcPr/>
</workbook>
</file>

<file path=xl/sharedStrings.xml><?xml version="1.0" encoding="utf-8"?>
<sst xmlns="http://schemas.openxmlformats.org/spreadsheetml/2006/main" count="1588" uniqueCount="809">
  <si>
    <t>Data visualization</t>
  </si>
  <si>
    <t>Meat purposes breed (Broiler, Sonali, Colour birds etc)</t>
  </si>
  <si>
    <t>AAFL</t>
  </si>
  <si>
    <t>SL</t>
  </si>
  <si>
    <t>Layer Breed (Brown/White)</t>
  </si>
  <si>
    <t>reyad.accl@akijcement.com</t>
  </si>
  <si>
    <t xml:space="preserve">Accl </t>
  </si>
  <si>
    <t>mdasikurrahman@akijcem</t>
  </si>
  <si>
    <t>AEL</t>
  </si>
  <si>
    <t>rasel.accl@akijcement.com</t>
  </si>
  <si>
    <t>AIL</t>
  </si>
  <si>
    <t>rafiqul.accl@akijcement.com</t>
  </si>
  <si>
    <t>ALEL</t>
  </si>
  <si>
    <t>ibrahim.acrmc@akijcement.com</t>
  </si>
  <si>
    <t>Date of Visit</t>
  </si>
  <si>
    <t>ARMCL</t>
  </si>
  <si>
    <t>HRML</t>
  </si>
  <si>
    <t>rashedul05@akijresource.com</t>
  </si>
  <si>
    <t>Cattle</t>
  </si>
  <si>
    <t>Visitor Email</t>
  </si>
  <si>
    <t>Region</t>
  </si>
  <si>
    <t>Partner Visit</t>
  </si>
  <si>
    <t>Territory</t>
  </si>
  <si>
    <t>Name of Farmer</t>
  </si>
  <si>
    <t>Contact number</t>
  </si>
  <si>
    <t>Village / Union</t>
  </si>
  <si>
    <t>Farm visit date (Auto generate)</t>
  </si>
  <si>
    <t>Name of Upazilla/Thana</t>
  </si>
  <si>
    <t>Name of District</t>
  </si>
  <si>
    <t>Type of Birds</t>
  </si>
  <si>
    <t>Capacity of Farms</t>
  </si>
  <si>
    <t>Number of Sheds</t>
  </si>
  <si>
    <t>Partner visit date (Auto generate)</t>
  </si>
  <si>
    <t>Auto Date</t>
  </si>
  <si>
    <t>Housed birds</t>
  </si>
  <si>
    <t>DOC company</t>
  </si>
  <si>
    <t>Name of Zone (Auto)</t>
  </si>
  <si>
    <t>DOC Breed</t>
  </si>
  <si>
    <t>Age of the birds</t>
  </si>
  <si>
    <t>Mortality</t>
  </si>
  <si>
    <t>Average Body Weight (gm)</t>
  </si>
  <si>
    <t>Average Feed Intake (gm)</t>
  </si>
  <si>
    <t>Feed Conversion Ratio</t>
  </si>
  <si>
    <t>DDL</t>
  </si>
  <si>
    <t>Name of Feed</t>
  </si>
  <si>
    <t>Broiler/Sonali/Colour Bird</t>
  </si>
  <si>
    <t>Name of Feed Company</t>
  </si>
  <si>
    <t>Name of Region (Auto)</t>
  </si>
  <si>
    <t>Diseases / Abnormalities</t>
  </si>
  <si>
    <t>Farm Condition</t>
  </si>
  <si>
    <t>Discussion with farmer</t>
  </si>
  <si>
    <t>Visited by</t>
  </si>
  <si>
    <t>Enroll</t>
  </si>
  <si>
    <t>Batch Number</t>
  </si>
  <si>
    <t>Name of Territory (Auto)</t>
  </si>
  <si>
    <t>Discussion with dealer/Sub-dealer</t>
  </si>
  <si>
    <t>Feed Com</t>
  </si>
  <si>
    <t>Feed Type</t>
  </si>
  <si>
    <t>Month</t>
  </si>
  <si>
    <t>Age range</t>
  </si>
  <si>
    <t>Zone</t>
  </si>
  <si>
    <t>Name of District (Auto)</t>
  </si>
  <si>
    <t>FI</t>
  </si>
  <si>
    <t>BW</t>
  </si>
  <si>
    <t>Sl. No.</t>
  </si>
  <si>
    <t>Name of Upazila (Auto)</t>
  </si>
  <si>
    <t>tazul@akijagrofeed.com</t>
  </si>
  <si>
    <t>Contact Number</t>
  </si>
  <si>
    <t>Name of Farmer (1st time) (Search)</t>
  </si>
  <si>
    <t>Address</t>
  </si>
  <si>
    <t>Khulna</t>
  </si>
  <si>
    <t>Name of Upazila/Thana</t>
  </si>
  <si>
    <t>Khulna-1</t>
  </si>
  <si>
    <t>Md. Basar</t>
  </si>
  <si>
    <t>Type of birds</t>
  </si>
  <si>
    <t>Name of Partner (1st time) (Search)</t>
  </si>
  <si>
    <t>Capacity of farms</t>
  </si>
  <si>
    <t>DDL(Searchable)</t>
  </si>
  <si>
    <t>Dumuria</t>
  </si>
  <si>
    <t>Flock Number</t>
  </si>
  <si>
    <t>Address (Auto)</t>
  </si>
  <si>
    <t>Broiler</t>
  </si>
  <si>
    <t>Housed Birds</t>
  </si>
  <si>
    <t>DOC Company</t>
  </si>
  <si>
    <t>Auto</t>
  </si>
  <si>
    <t>Age of bird (Day)</t>
  </si>
  <si>
    <t>Contact number (Search)</t>
  </si>
  <si>
    <t>Mortality (Number)</t>
  </si>
  <si>
    <t>Aftab Hatchery Ltd.</t>
  </si>
  <si>
    <t>Sl No</t>
  </si>
  <si>
    <t>Efficiency Plus (EP)</t>
  </si>
  <si>
    <t>Item</t>
  </si>
  <si>
    <t>Name of feed company</t>
  </si>
  <si>
    <t>Broiler Starter (101) 50 Kg</t>
  </si>
  <si>
    <t>Batch Number - Bag (Optional)</t>
  </si>
  <si>
    <t xml:space="preserve">Capacity of Farm </t>
  </si>
  <si>
    <t>Max Days</t>
  </si>
  <si>
    <t>AKIJ Agro Feed Limited</t>
  </si>
  <si>
    <t>Capacity of Farm</t>
  </si>
  <si>
    <t>No. of Feeder</t>
  </si>
  <si>
    <t>Type of partner (Dealer/Sub-dealer/Retailer/Shopkeeper etc)</t>
  </si>
  <si>
    <t>Height of Feeder</t>
  </si>
  <si>
    <t>Md. Tazul Islam</t>
  </si>
  <si>
    <t>No. of Drinkers</t>
  </si>
  <si>
    <t>F - 001</t>
  </si>
  <si>
    <t>Height of Drinkers</t>
  </si>
  <si>
    <t>Layer</t>
  </si>
  <si>
    <t>Floor Space (Sft)</t>
  </si>
  <si>
    <t>Litter Materials</t>
  </si>
  <si>
    <t>May</t>
  </si>
  <si>
    <t>Type of Farm (Beef/Dairy/Both)</t>
  </si>
  <si>
    <t>Litter Condition</t>
  </si>
  <si>
    <t>Capacity of partner (Ton) (Poultry, Fish, Cattle, Total)</t>
  </si>
  <si>
    <t>Sonali</t>
  </si>
  <si>
    <t>Input</t>
  </si>
  <si>
    <t>Temperature</t>
  </si>
  <si>
    <t>Humidity</t>
  </si>
  <si>
    <t>No. of Housed bird</t>
  </si>
  <si>
    <t>Ammonia Concentration</t>
  </si>
  <si>
    <t>Ventilation (Air Speed)</t>
  </si>
  <si>
    <t>Curtain Management</t>
  </si>
  <si>
    <t>No. of Sheds</t>
  </si>
  <si>
    <t>Core feed business (Poultry/Fish/Cattle)</t>
  </si>
  <si>
    <t>Disease/Abnormalities</t>
  </si>
  <si>
    <t>No. of Calves</t>
  </si>
  <si>
    <t>Discussion with Farmer</t>
  </si>
  <si>
    <t>Number of companies dealing with:</t>
  </si>
  <si>
    <t>Discussion with dealer</t>
  </si>
  <si>
    <t>Joyonto Mondol</t>
  </si>
  <si>
    <t>No. of Heifers</t>
  </si>
  <si>
    <t>Main feed company:</t>
  </si>
  <si>
    <t>Name of Breed</t>
  </si>
  <si>
    <t>Nahar Agro</t>
  </si>
  <si>
    <t>Layer/Cock</t>
  </si>
  <si>
    <t>Sonali /Cock Grower (302) 50 Kg</t>
  </si>
  <si>
    <t>Type of Layer (Brown/White)</t>
  </si>
  <si>
    <t>No. of dairy cows</t>
  </si>
  <si>
    <t>F - 002</t>
  </si>
  <si>
    <t>Nature of partner: Cash/Credit</t>
  </si>
  <si>
    <t>Age of the birds (Day)</t>
  </si>
  <si>
    <t>No. of dry cows</t>
  </si>
  <si>
    <t>Discussion</t>
  </si>
  <si>
    <t>Text</t>
  </si>
  <si>
    <t>Mortality till date</t>
  </si>
  <si>
    <t>Age of the birds (weeks)</t>
  </si>
  <si>
    <t>No. of Beef cattle</t>
  </si>
  <si>
    <t>Sumon</t>
  </si>
  <si>
    <t>Update</t>
  </si>
  <si>
    <t>Rupsha</t>
  </si>
  <si>
    <t>Ave. Body weight (gm)</t>
  </si>
  <si>
    <t>Layer/Duck</t>
  </si>
  <si>
    <t>Category of feed use (Ready feed/Loose/Both)</t>
  </si>
  <si>
    <t>Ave. Feed Intake (gm)</t>
  </si>
  <si>
    <t>Paragon Agro</t>
  </si>
  <si>
    <t>Quantiy of Concentrate (Loose) use/day- Kg</t>
  </si>
  <si>
    <t>FCR (Auto generate)</t>
  </si>
  <si>
    <t>Ave. Feed Intake (gm/day)</t>
  </si>
  <si>
    <t>Quantity of ready feed use/day - Kg</t>
  </si>
  <si>
    <t>Broiler Grower (102) 50 Kg</t>
  </si>
  <si>
    <t>Number of Eggs/day</t>
  </si>
  <si>
    <t>Total milk production of the farm (Liter)</t>
  </si>
  <si>
    <t>Name of Feed company</t>
  </si>
  <si>
    <t>Egg production %</t>
  </si>
  <si>
    <t>Ave. body weight of dairy/fattening cattle (Kg)</t>
  </si>
  <si>
    <t>FCR = Ave. feed intake (gm)/Ave. body weight (gm)</t>
  </si>
  <si>
    <t>Name of Factory</t>
  </si>
  <si>
    <t>Ave. Egg weight (gm)</t>
  </si>
  <si>
    <t>Tag/Batch Number</t>
  </si>
  <si>
    <t>No. of Existing birds</t>
  </si>
  <si>
    <t>Breed</t>
  </si>
  <si>
    <t>Number of Feeder</t>
  </si>
  <si>
    <t>No. of eggs per day</t>
  </si>
  <si>
    <t>Height of feeders</t>
  </si>
  <si>
    <t>Egg Production %</t>
  </si>
  <si>
    <t>Abdul Mannan</t>
  </si>
  <si>
    <t>01831-318804</t>
  </si>
  <si>
    <t>Tag/Batch Number (Optional)</t>
  </si>
  <si>
    <t>Batiaghat</t>
  </si>
  <si>
    <t>Number of drinkers</t>
  </si>
  <si>
    <t>Farm Type (Cage/Floor)</t>
  </si>
  <si>
    <t>Lighting (Lux)</t>
  </si>
  <si>
    <t>Height of drinkers</t>
  </si>
  <si>
    <t>Akij Chicks</t>
  </si>
  <si>
    <t>Farm type (Cage/Floor)</t>
  </si>
  <si>
    <t>Exposure to sun &amp; wind</t>
  </si>
  <si>
    <t>&lt;1.10</t>
  </si>
  <si>
    <t>Floor space (Square Feet)</t>
  </si>
  <si>
    <t>Data Correction needed</t>
  </si>
  <si>
    <t>Broiler Grower 50 Kg</t>
  </si>
  <si>
    <t>Topography</t>
  </si>
  <si>
    <t>Name of breed</t>
  </si>
  <si>
    <t>New Hope Agrotech Bangladesh Ltd</t>
  </si>
  <si>
    <t>Litter materials</t>
  </si>
  <si>
    <t>Feed Company</t>
  </si>
  <si>
    <t>Farm Condition (Auto) - Colour</t>
  </si>
  <si>
    <t>Floor Space requirements</t>
  </si>
  <si>
    <t>Poultry Diseases</t>
  </si>
  <si>
    <t>Soil Type/Floor</t>
  </si>
  <si>
    <t>Cattle Diseases</t>
  </si>
  <si>
    <t>A One Poultry</t>
  </si>
  <si>
    <t>Aalo Feed (Pran)</t>
  </si>
  <si>
    <t>Drainage System</t>
  </si>
  <si>
    <t>Height of Feeders</t>
  </si>
  <si>
    <t>Broiler (Standard)</t>
  </si>
  <si>
    <t>Tikka khan</t>
  </si>
  <si>
    <t>Acute Propen-butane Intoxication</t>
  </si>
  <si>
    <t>01640-075295</t>
  </si>
  <si>
    <t>Abortion</t>
  </si>
  <si>
    <t>Water Supply</t>
  </si>
  <si>
    <t>Khulna Sadar</t>
  </si>
  <si>
    <t>Abir hatchery</t>
  </si>
  <si>
    <t>Arbor Acres</t>
  </si>
  <si>
    <t>Broiler Pre-Starter</t>
  </si>
  <si>
    <t>ACI Godrej</t>
  </si>
  <si>
    <t>Kazi Farms Ltd</t>
  </si>
  <si>
    <t>Upper than back position</t>
  </si>
  <si>
    <t>Age (days)</t>
  </si>
  <si>
    <t>Sft/bird</t>
  </si>
  <si>
    <t>Acute Selenium Intoxication</t>
  </si>
  <si>
    <t>Actinobacillosis (Wooden Tongue)</t>
  </si>
  <si>
    <t>Broiler Starter 50 Kg</t>
  </si>
  <si>
    <t>Bacterial disease</t>
  </si>
  <si>
    <t>Adarsha Hatchery</t>
  </si>
  <si>
    <t>Alal Poultry &amp; Fish Feed Ltd (71)</t>
  </si>
  <si>
    <t>Cobb 500</t>
  </si>
  <si>
    <t>Broiler Starter</t>
  </si>
  <si>
    <t>Adnan Feed</t>
  </si>
  <si>
    <t>Equal to back position</t>
  </si>
  <si>
    <t>Curtain management</t>
  </si>
  <si>
    <t>Viral disease</t>
  </si>
  <si>
    <t>Adenocarcinomatosis</t>
  </si>
  <si>
    <t>Actinomycosis (Lumpy Jaw)</t>
  </si>
  <si>
    <t>Advance Agro</t>
  </si>
  <si>
    <t>Broiler Grower</t>
  </si>
  <si>
    <t>Advance Feed</t>
  </si>
  <si>
    <t>Below than back position</t>
  </si>
  <si>
    <t>Farm Condition (Auto)</t>
  </si>
  <si>
    <t>Adenovirus Infections</t>
  </si>
  <si>
    <t>Anoestrus</t>
  </si>
  <si>
    <t>Afil Agro</t>
  </si>
  <si>
    <t>Protozoal &amp; Fungal disease</t>
  </si>
  <si>
    <t>Indian River (IR)</t>
  </si>
  <si>
    <t>Broiler Finisher</t>
  </si>
  <si>
    <t>Aftab</t>
  </si>
  <si>
    <t>Aflatoxicosis</t>
  </si>
  <si>
    <t>Anthrax</t>
  </si>
  <si>
    <t>Mannan</t>
  </si>
  <si>
    <t>Ross</t>
  </si>
  <si>
    <t>Sonali/Cock</t>
  </si>
  <si>
    <t>AG Agro</t>
  </si>
  <si>
    <t>Metabolic Diseases</t>
  </si>
  <si>
    <t>Peoples Poultry</t>
  </si>
  <si>
    <t>Amyloidosis</t>
  </si>
  <si>
    <t>Babesiosis (Red Water Fever)</t>
  </si>
  <si>
    <t>AG agro</t>
  </si>
  <si>
    <t>Sonali Starter</t>
  </si>
  <si>
    <t>Agata</t>
  </si>
  <si>
    <t>Deficiency &amp; other diseases</t>
  </si>
  <si>
    <t>16-20</t>
  </si>
  <si>
    <t>Ascaridiosis</t>
  </si>
  <si>
    <t>Bloat</t>
  </si>
  <si>
    <t>AIT Agro</t>
  </si>
  <si>
    <t>Sonali Classic</t>
  </si>
  <si>
    <t>Sonali Grower</t>
  </si>
  <si>
    <t>Other abnormalities</t>
  </si>
  <si>
    <t>Agroni</t>
  </si>
  <si>
    <t>21-25</t>
  </si>
  <si>
    <t>Ascitis</t>
  </si>
  <si>
    <t>Bluetongue</t>
  </si>
  <si>
    <t>Neoplastic diseases</t>
  </si>
  <si>
    <t>AK Poultry</t>
  </si>
  <si>
    <t>Sonali Hybrid</t>
  </si>
  <si>
    <t>Sonali Finisher</t>
  </si>
  <si>
    <t>Pictures</t>
  </si>
  <si>
    <t>Agrotech</t>
  </si>
  <si>
    <t>26-above</t>
  </si>
  <si>
    <t>Aspergillosis</t>
  </si>
  <si>
    <t>Bovine Viral Diarrhoea (BVD)</t>
  </si>
  <si>
    <t>Al Madina</t>
  </si>
  <si>
    <t>Cock Starter</t>
  </si>
  <si>
    <t>AIT</t>
  </si>
  <si>
    <t>Aspergillus Granulomatous Dermatitis</t>
  </si>
  <si>
    <t>Bracken poisoning</t>
  </si>
  <si>
    <t>Aman Poultry</t>
  </si>
  <si>
    <t>Bovans Brown</t>
  </si>
  <si>
    <t>Cock Finisher</t>
  </si>
  <si>
    <t>Alal Feed (71)</t>
  </si>
  <si>
    <t>Avian Influenza (AI)</t>
  </si>
  <si>
    <t>BRSV (Bovine Respiratory Syncitial Virus)</t>
  </si>
  <si>
    <t>Bangladesh Hatchery</t>
  </si>
  <si>
    <t>Bovans White</t>
  </si>
  <si>
    <t>Aleya Feed</t>
  </si>
  <si>
    <t>Rice husk</t>
  </si>
  <si>
    <t>Avian Tuberculosis</t>
  </si>
  <si>
    <t>Brucellosis</t>
  </si>
  <si>
    <t>Baqngladesh Agro</t>
  </si>
  <si>
    <t>Dekalb White</t>
  </si>
  <si>
    <t>Layer Starter</t>
  </si>
  <si>
    <t>AMAN</t>
  </si>
  <si>
    <t>Wood savings</t>
  </si>
  <si>
    <t>FCR = Ave. Feed intake/Ave. body weight</t>
  </si>
  <si>
    <t>Botulism</t>
  </si>
  <si>
    <t>BSE (Bovine Spongiform Encephalitis)</t>
  </si>
  <si>
    <t>Bay Agro</t>
  </si>
  <si>
    <t>Hisex Brown</t>
  </si>
  <si>
    <t>Layer Grower</t>
  </si>
  <si>
    <t>Amrit Global</t>
  </si>
  <si>
    <t>Straw</t>
  </si>
  <si>
    <t>Cage Layer Fatigue</t>
  </si>
  <si>
    <t>Calf Diphtheria</t>
  </si>
  <si>
    <t>CP Bangladesh</t>
  </si>
  <si>
    <t>Hisex White</t>
  </si>
  <si>
    <t>Total</t>
  </si>
  <si>
    <t>Pre-layer</t>
  </si>
  <si>
    <t>AP Feed</t>
  </si>
  <si>
    <t>Saw dust</t>
  </si>
  <si>
    <t>Candidiasis</t>
  </si>
  <si>
    <t>Calf Scour</t>
  </si>
  <si>
    <t>Diamond chicks</t>
  </si>
  <si>
    <t>Hyline Brown</t>
  </si>
  <si>
    <t>Layer Layer - 1 (Mash)</t>
  </si>
  <si>
    <t>Arman Feed (Pustiraj)</t>
  </si>
  <si>
    <t>Sand</t>
  </si>
  <si>
    <t>Cholangiohepatitis</t>
  </si>
  <si>
    <t>Campylobacter Infection</t>
  </si>
  <si>
    <t>Dola Hatchery</t>
  </si>
  <si>
    <t>Hyline White</t>
  </si>
  <si>
    <t>Layer Layer - 1 (Pellet)</t>
  </si>
  <si>
    <t>Biswash Feed</t>
  </si>
  <si>
    <t>Others</t>
  </si>
  <si>
    <t>Coccidiosis</t>
  </si>
  <si>
    <t>Cancer Eye (Ocular Squamous Cell Carcinoma)</t>
  </si>
  <si>
    <t>Eon Agro</t>
  </si>
  <si>
    <t>ISA Brown</t>
  </si>
  <si>
    <t>Layer Layer - 2 (Mash)</t>
  </si>
  <si>
    <t>Care Feed (Tamim agro)</t>
  </si>
  <si>
    <t>Coccidiosis- tenella</t>
  </si>
  <si>
    <t>Carbohydrate Overload</t>
  </si>
  <si>
    <t>Fresh Chicks - Biswash</t>
  </si>
  <si>
    <t>Lohman Brown</t>
  </si>
  <si>
    <t>Layer Layer - 2 (Pellet)</t>
  </si>
  <si>
    <t>Chhuya Agro</t>
  </si>
  <si>
    <t>Deep Pectoral Myopathy</t>
  </si>
  <si>
    <t>Clostridial Disease</t>
  </si>
  <si>
    <t>Goalanda Hatchery</t>
  </si>
  <si>
    <t>Lohman White</t>
  </si>
  <si>
    <t>Layer Concentrates</t>
  </si>
  <si>
    <t>City (Teer)</t>
  </si>
  <si>
    <t xml:space="preserve">Dry </t>
  </si>
  <si>
    <t>Dyschondroplasia</t>
  </si>
  <si>
    <t>Cobalt Deficiency (Pine)</t>
  </si>
  <si>
    <t>Golden hatchery</t>
  </si>
  <si>
    <t>Novogen Brown</t>
  </si>
  <si>
    <t>Dusty</t>
  </si>
  <si>
    <t>E.coli Infections</t>
  </si>
  <si>
    <t>Gousia Poultry</t>
  </si>
  <si>
    <t>Novogen White</t>
  </si>
  <si>
    <t xml:space="preserve">Cattle </t>
  </si>
  <si>
    <t>Crown Feed</t>
  </si>
  <si>
    <t>Standard</t>
  </si>
  <si>
    <t>Egg Drop Syndrome (EDS)</t>
  </si>
  <si>
    <t>Copper Toxicity</t>
  </si>
  <si>
    <t>Hemachal Agro</t>
  </si>
  <si>
    <t>Shaver Brown</t>
  </si>
  <si>
    <t>Dairy Premium</t>
  </si>
  <si>
    <t>Danish (Partex)</t>
  </si>
  <si>
    <t>Moist</t>
  </si>
  <si>
    <t>Erythroblastosis</t>
  </si>
  <si>
    <t>Cryptosporidiosis</t>
  </si>
  <si>
    <t>Hill Bird</t>
  </si>
  <si>
    <t>Shaver White</t>
  </si>
  <si>
    <t>Dairy Regular</t>
  </si>
  <si>
    <t>DG Feed</t>
  </si>
  <si>
    <t>Heavy moist</t>
  </si>
  <si>
    <t>Fatty Liver Haemorragic Syndrome</t>
  </si>
  <si>
    <t>Dermatitis</t>
  </si>
  <si>
    <t>Hoque hatchery - Jamjam</t>
  </si>
  <si>
    <t>Colour Bird</t>
  </si>
  <si>
    <t>Dairy Economy</t>
  </si>
  <si>
    <t>Enam Feed</t>
  </si>
  <si>
    <t>Fowl Cholera</t>
  </si>
  <si>
    <t>Diarrhoea</t>
  </si>
  <si>
    <t>Index Agro</t>
  </si>
  <si>
    <t>Beef Premium</t>
  </si>
  <si>
    <t>Fresh Feed (mgi)</t>
  </si>
  <si>
    <t>Fowl Pox</t>
  </si>
  <si>
    <t>Downer Cow</t>
  </si>
  <si>
    <t>Jayson hatchery</t>
  </si>
  <si>
    <t xml:space="preserve">Duck Breed </t>
  </si>
  <si>
    <t>Beef Regular</t>
  </si>
  <si>
    <t>Gazipur Feed</t>
  </si>
  <si>
    <t>Top to bottom</t>
  </si>
  <si>
    <t>Fusariotoxicoses</t>
  </si>
  <si>
    <t>E.coli scour</t>
  </si>
  <si>
    <t>Kairy hatchery</t>
  </si>
  <si>
    <t>Khaki Campbell</t>
  </si>
  <si>
    <t>Beef Economy</t>
  </si>
  <si>
    <t>Gousia Feed</t>
  </si>
  <si>
    <t>Bottom to Top</t>
  </si>
  <si>
    <t>Gangrenous Dermatitis</t>
  </si>
  <si>
    <t>Ectoparasites</t>
  </si>
  <si>
    <t>Pekin</t>
  </si>
  <si>
    <t>Bhushi Mix</t>
  </si>
  <si>
    <t>Haque Feed</t>
  </si>
  <si>
    <t>Open up and down</t>
  </si>
  <si>
    <t>Gastrointestinal Impaction</t>
  </si>
  <si>
    <t>Endometritis</t>
  </si>
  <si>
    <t xml:space="preserve">Keari poultry </t>
  </si>
  <si>
    <t>Deshi duck</t>
  </si>
  <si>
    <t>Gizzard Impaction</t>
  </si>
  <si>
    <t>Endoparasites</t>
  </si>
  <si>
    <t>M.M Agha</t>
  </si>
  <si>
    <t>JAFPA</t>
  </si>
  <si>
    <t>Gout</t>
  </si>
  <si>
    <t>Flies</t>
  </si>
  <si>
    <t>MAC Hatchery</t>
  </si>
  <si>
    <t>Holstein Friesian</t>
  </si>
  <si>
    <t>Kazi</t>
  </si>
  <si>
    <t>High</t>
  </si>
  <si>
    <t>Histomonosis</t>
  </si>
  <si>
    <t>Foot and Mouth Disease (FMD)</t>
  </si>
  <si>
    <t>Maitri hatchery</t>
  </si>
  <si>
    <t>Jersey</t>
  </si>
  <si>
    <t>KNB</t>
  </si>
  <si>
    <t>Within range</t>
  </si>
  <si>
    <t>Hyperandrogenism</t>
  </si>
  <si>
    <t>Foul in the Foot</t>
  </si>
  <si>
    <t>Mamun hatchery</t>
  </si>
  <si>
    <t>Shahiwal</t>
  </si>
  <si>
    <t>Krishibid Feed</t>
  </si>
  <si>
    <t>Low</t>
  </si>
  <si>
    <t>Inclusion Body Hepatitis (IBH)</t>
  </si>
  <si>
    <t>Heat Stress</t>
  </si>
  <si>
    <t>Mondal hatchery</t>
  </si>
  <si>
    <t>Red Sindhi</t>
  </si>
  <si>
    <t>Lucky Feed</t>
  </si>
  <si>
    <t>Infectious Bronchitis (IB)</t>
  </si>
  <si>
    <t>Hypomagnesaemia (Grass Staggers)</t>
  </si>
  <si>
    <t>Mono hatchery</t>
  </si>
  <si>
    <t>Native Cattle</t>
  </si>
  <si>
    <t>Madina Feed</t>
  </si>
  <si>
    <t>Ventilaton</t>
  </si>
  <si>
    <t>Infectious Bursal Disease (IBD)</t>
  </si>
  <si>
    <t>IBR (Infectious Bovine Rhinotracheitis)</t>
  </si>
  <si>
    <t>Fish</t>
  </si>
  <si>
    <t>Mega Feed</t>
  </si>
  <si>
    <t>Satisfactory</t>
  </si>
  <si>
    <t>Infectious Encephalomyelitis</t>
  </si>
  <si>
    <t>Infertility</t>
  </si>
  <si>
    <t>New Agrofarm</t>
  </si>
  <si>
    <t>Type</t>
  </si>
  <si>
    <t>Pangus</t>
  </si>
  <si>
    <t>Miraj Feed</t>
  </si>
  <si>
    <t>SELECT * FROM iBOSDDD.Farm.tblAgroBreed</t>
  </si>
  <si>
    <t>Unsatisfactory</t>
  </si>
  <si>
    <t>Laryngotracheitis</t>
  </si>
  <si>
    <t>Joint ill</t>
  </si>
  <si>
    <t>New hope Bangladesh</t>
  </si>
  <si>
    <t>Tilapia</t>
  </si>
  <si>
    <t>Misham Agro</t>
  </si>
  <si>
    <t>Lymphoid Leukosis</t>
  </si>
  <si>
    <t>Ketosis (Acetonaemia)</t>
  </si>
  <si>
    <t>Nil Shagor Hatchery</t>
  </si>
  <si>
    <t>Koi</t>
  </si>
  <si>
    <t>Malformations</t>
  </si>
  <si>
    <t>Lameness</t>
  </si>
  <si>
    <t>Niribilly Hatchery</t>
  </si>
  <si>
    <t>Pabda/Gulsha</t>
  </si>
  <si>
    <t>New hope</t>
  </si>
  <si>
    <t>Good (&lt; 10 ppm)</t>
  </si>
  <si>
    <t>Marek's Disease</t>
  </si>
  <si>
    <t>Leptospirosis</t>
  </si>
  <si>
    <t>Nourish Poultry</t>
  </si>
  <si>
    <t>Sing/Magur</t>
  </si>
  <si>
    <t>Nilsagor</t>
  </si>
  <si>
    <t>Alarming (11 - 25 ppm)</t>
  </si>
  <si>
    <t>Mycoplasma</t>
  </si>
  <si>
    <t>Lice</t>
  </si>
  <si>
    <t>Nova Agro</t>
  </si>
  <si>
    <t>IMC</t>
  </si>
  <si>
    <t>Nourish</t>
  </si>
  <si>
    <t>Risky (&gt; 25 ppm)</t>
  </si>
  <si>
    <t>Mycoses and Mycotoxicoses</t>
  </si>
  <si>
    <t>Listeriosis</t>
  </si>
  <si>
    <t>Pacha hatchery</t>
  </si>
  <si>
    <t>Shrimp</t>
  </si>
  <si>
    <t>Myelocytomatosis</t>
  </si>
  <si>
    <t>Liver Fluke</t>
  </si>
  <si>
    <t>Pacific hatchery</t>
  </si>
  <si>
    <t>Padma Feed</t>
  </si>
  <si>
    <t>Conditions:</t>
  </si>
  <si>
    <t>Necrotic Enteritis</t>
  </si>
  <si>
    <t>Long Bone Deformity</t>
  </si>
  <si>
    <t>Pahareka(Nahar)</t>
  </si>
  <si>
    <t>Paradise</t>
  </si>
  <si>
    <t>if mentioned green colour below 80%, then it will be yellow, below 50% red.</t>
  </si>
  <si>
    <t>Newcastle Disease (ND)</t>
  </si>
  <si>
    <t>Lumpy Skin</t>
  </si>
  <si>
    <t>Paragon</t>
  </si>
  <si>
    <t>in case of ammonia, if it risky, no need to measure other head</t>
  </si>
  <si>
    <t>Non - specific diarrhoea</t>
  </si>
  <si>
    <t>Lungworm</t>
  </si>
  <si>
    <t>PCF Feed</t>
  </si>
  <si>
    <t>Malignant Catarrhal Fever (MCF)</t>
  </si>
  <si>
    <t>Phinix Agro</t>
  </si>
  <si>
    <t>Planet Feed</t>
  </si>
  <si>
    <t>Paratyphoid Infections</t>
  </si>
  <si>
    <t>Mastitis</t>
  </si>
  <si>
    <t>Plannet  Agro</t>
  </si>
  <si>
    <t>Power Feed</t>
  </si>
  <si>
    <t>Perosis - Slipped Tendon</t>
  </si>
  <si>
    <t>Meningitis</t>
  </si>
  <si>
    <t>Progressive  Agro</t>
  </si>
  <si>
    <t>Provita</t>
  </si>
  <si>
    <t>Raillietinosis</t>
  </si>
  <si>
    <t>Milk Fever (Hypocalcaemia)</t>
  </si>
  <si>
    <t>Provita Chicks</t>
  </si>
  <si>
    <t>Quality</t>
  </si>
  <si>
    <t>Reovirus Infections</t>
  </si>
  <si>
    <t>Mites</t>
  </si>
  <si>
    <t>Quality Hatchery</t>
  </si>
  <si>
    <t>Rana Feed</t>
  </si>
  <si>
    <t>Salmonellosis</t>
  </si>
  <si>
    <t>Mucosal Disease</t>
  </si>
  <si>
    <t>Rafid Hatchery</t>
  </si>
  <si>
    <t>RB Agro</t>
  </si>
  <si>
    <t>Subcutaneous Emphysema</t>
  </si>
  <si>
    <t>Navel ill</t>
  </si>
  <si>
    <t>Rajbari hatchery</t>
  </si>
  <si>
    <t>RMR</t>
  </si>
  <si>
    <t>Swollen Head Syndrome</t>
  </si>
  <si>
    <t>Rashid Hatchery</t>
  </si>
  <si>
    <t>RRP</t>
  </si>
  <si>
    <t>Thyperkeratosis</t>
  </si>
  <si>
    <t>Neosporosis</t>
  </si>
  <si>
    <t>Rashik Hatchery</t>
  </si>
  <si>
    <t>Saudi bangla</t>
  </si>
  <si>
    <t>Vitamin B1 Deficiency</t>
  </si>
  <si>
    <t>Nervous Diseases</t>
  </si>
  <si>
    <t>RF Agro</t>
  </si>
  <si>
    <t>SB Feed</t>
  </si>
  <si>
    <t>Vitamin B2 Deficiency</t>
  </si>
  <si>
    <t>New Forest Disease (Pink Eye)</t>
  </si>
  <si>
    <t>RMR poultry</t>
  </si>
  <si>
    <t>SMS Feed</t>
  </si>
  <si>
    <t>Vitamin E Deficiency</t>
  </si>
  <si>
    <t>Ostertagiosis</t>
  </si>
  <si>
    <t>Colour</t>
  </si>
  <si>
    <t>RRP Agro</t>
  </si>
  <si>
    <t>Solid Feed</t>
  </si>
  <si>
    <t>Duck</t>
  </si>
  <si>
    <t>SB Hatchery</t>
  </si>
  <si>
    <t>Suguna Feed</t>
  </si>
  <si>
    <t>Ovarian cysts</t>
  </si>
  <si>
    <t>SGS feed</t>
  </si>
  <si>
    <t>Swadesh feed</t>
  </si>
  <si>
    <t>Paratuberculosis (Johne's disease)</t>
  </si>
  <si>
    <t>Shamim Hatchery</t>
  </si>
  <si>
    <t>Tangon Feed</t>
  </si>
  <si>
    <t>Photosensitization</t>
  </si>
  <si>
    <t>Shyamali hatchery</t>
  </si>
  <si>
    <t>Tongwei</t>
  </si>
  <si>
    <t>Plant Poisoning</t>
  </si>
  <si>
    <t>Suguna Agro Farm</t>
  </si>
  <si>
    <t>Union Feed</t>
  </si>
  <si>
    <t>Pneumonia</t>
  </si>
  <si>
    <t>Sunny Breeders</t>
  </si>
  <si>
    <t>United Feed</t>
  </si>
  <si>
    <t>Pseudocowpox</t>
  </si>
  <si>
    <t>Swadesh Agro</t>
  </si>
  <si>
    <t>Victor Feed</t>
  </si>
  <si>
    <t>Q Fever in Cattle</t>
  </si>
  <si>
    <t>Universal Hatchery</t>
  </si>
  <si>
    <t>Respiratory Disease</t>
  </si>
  <si>
    <t>Universe poultry</t>
  </si>
  <si>
    <t>Retained placenta</t>
  </si>
  <si>
    <t>Victor breeders</t>
  </si>
  <si>
    <t>Ringworm</t>
  </si>
  <si>
    <t>VIP Hatchery</t>
  </si>
  <si>
    <t>Rotavirus Scour</t>
  </si>
  <si>
    <t>Willow Poultry</t>
  </si>
  <si>
    <t>SARA (Sub Acute Ruminal Acidosis)</t>
  </si>
  <si>
    <t>Selenium and Vitamin E deficiency</t>
  </si>
  <si>
    <t>Ticks</t>
  </si>
  <si>
    <t>Tuberculosis</t>
  </si>
  <si>
    <t>Tumours</t>
  </si>
  <si>
    <t>Uterine Infection</t>
  </si>
  <si>
    <t>Warts (Papillomatosis)</t>
  </si>
  <si>
    <t>Wooden Tongue (Actinobacillosis)</t>
  </si>
  <si>
    <t>Others Feed name</t>
  </si>
  <si>
    <t>For akij feed name will come from ibos ERP category wise</t>
  </si>
  <si>
    <t>Farm Type</t>
  </si>
  <si>
    <t>Feed Name</t>
  </si>
  <si>
    <t>SELECT * FROM iBOSDDD.Farm.tblAgroFeed</t>
  </si>
  <si>
    <t>Colour Bird Starter</t>
  </si>
  <si>
    <t>Colour Bird Grower</t>
  </si>
  <si>
    <t>https://erp.ibos.io/sales-management/dashboard/farmVisitReport</t>
  </si>
  <si>
    <t>Duck Starter</t>
  </si>
  <si>
    <t>Duck Grower</t>
  </si>
  <si>
    <t>Duck Layer Layer</t>
  </si>
  <si>
    <t xml:space="preserve"> </t>
  </si>
  <si>
    <t>Will new colum added for broiler/sonali/color</t>
  </si>
  <si>
    <t>Dairy Premium/Milk Booster</t>
  </si>
  <si>
    <t>Dairy Regular/Dairy Cattle</t>
  </si>
  <si>
    <t>Status will be showed like</t>
  </si>
  <si>
    <t>Beef Premium/Beef Builder</t>
  </si>
  <si>
    <t>Beef Regular/Beef Cattle</t>
  </si>
  <si>
    <t>Calf Feed</t>
  </si>
  <si>
    <t>Beef Grower Plus</t>
  </si>
  <si>
    <t>Broiler/Sonali/Color Bird</t>
  </si>
  <si>
    <t>Perameter</t>
  </si>
  <si>
    <t>Marking Perametar</t>
  </si>
  <si>
    <t>Test Mark</t>
  </si>
  <si>
    <t>Range</t>
  </si>
  <si>
    <t>If average mark range</t>
  </si>
  <si>
    <t>80-100</t>
  </si>
  <si>
    <t>Green</t>
  </si>
  <si>
    <t>A</t>
  </si>
  <si>
    <t>65-79</t>
  </si>
  <si>
    <t>Yellow</t>
  </si>
  <si>
    <t>B</t>
  </si>
  <si>
    <t>0-64</t>
  </si>
  <si>
    <t>Red</t>
  </si>
  <si>
    <t>C</t>
  </si>
  <si>
    <t>Enrollment</t>
  </si>
  <si>
    <t>Dry</t>
  </si>
  <si>
    <t>Employee name</t>
  </si>
  <si>
    <t>Role Name</t>
  </si>
  <si>
    <t>Objective</t>
  </si>
  <si>
    <t>BSC Perspective</t>
  </si>
  <si>
    <t>KPI Charter</t>
  </si>
  <si>
    <t>KPI Name</t>
  </si>
  <si>
    <t>KPI Direction</t>
  </si>
  <si>
    <t xml:space="preserve">Stocking Density </t>
  </si>
  <si>
    <t>SRF</t>
  </si>
  <si>
    <t>UOM</t>
  </si>
  <si>
    <t>Weightage [100]</t>
  </si>
  <si>
    <t>Target</t>
  </si>
  <si>
    <t>Actual</t>
  </si>
  <si>
    <t>Achievement (in %)</t>
  </si>
  <si>
    <t>Normal</t>
  </si>
  <si>
    <t>Weighted Score</t>
  </si>
  <si>
    <t>KPI Status</t>
  </si>
  <si>
    <t>Evidence Data link</t>
  </si>
  <si>
    <t>KPI Driver</t>
  </si>
  <si>
    <t>Technical Services Officer (Poultry)</t>
  </si>
  <si>
    <t>Farm Visit</t>
  </si>
  <si>
    <t>Higher is better</t>
  </si>
  <si>
    <t>Monthly</t>
  </si>
  <si>
    <t>BDT</t>
  </si>
  <si>
    <t>Farm Conversion</t>
  </si>
  <si>
    <t>%</t>
  </si>
  <si>
    <t>Farmers Programs</t>
  </si>
  <si>
    <t>Farm Recort Entry</t>
  </si>
  <si>
    <t>Farm type: Correct the spelling, Broiler and enlist all - Broiler, layer, Sonali, Colour Bird and Cattle</t>
  </si>
  <si>
    <t>Please add Performance instead of Blue leveled Mortality, then mention flock number instead of Tag/Batch number</t>
  </si>
  <si>
    <t>Average body weight (gm)/bird</t>
  </si>
  <si>
    <t>Age Count: For broiler, Sonali and Colour birds - days, Layer - Weeks, Cattle - Month/Years</t>
  </si>
  <si>
    <t>Feed consumption: Please add feed tag/batch number (which is optional), Consumption quantity (gm)/bird</t>
  </si>
  <si>
    <t>Broiler Performance</t>
  </si>
  <si>
    <t>Age (Day)</t>
  </si>
  <si>
    <r>
      <rPr>
        <rFont val="Arial"/>
        <color theme="1"/>
      </rPr>
      <t>Temperature and Humidity:</t>
    </r>
    <r>
      <rPr>
        <rFont val="Arial"/>
        <b/>
        <color theme="1"/>
      </rPr>
      <t xml:space="preserve"> Ammonia</t>
    </r>
    <r>
      <rPr>
        <rFont val="Arial"/>
        <color theme="1"/>
      </rPr>
      <t xml:space="preserve"> instead of Amonia</t>
    </r>
  </si>
  <si>
    <t xml:space="preserve">Require to create a new field: Partner visit (Dealer, Sub-dealer, Retailer, Shop-keeper, </t>
  </si>
  <si>
    <t>Body Weight (gm)</t>
  </si>
  <si>
    <t>Collection of Feed Samples</t>
  </si>
  <si>
    <r>
      <rPr>
        <rFont val="Arial"/>
        <color theme="1"/>
      </rPr>
      <t xml:space="preserve">Please write </t>
    </r>
    <r>
      <rPr>
        <rFont val="Arial"/>
        <b/>
        <color theme="1"/>
      </rPr>
      <t xml:space="preserve">Farm Status </t>
    </r>
    <r>
      <rPr>
        <rFont val="Arial"/>
        <color theme="1"/>
      </rPr>
      <t>instead of Temperature &amp; Humidity</t>
    </r>
  </si>
  <si>
    <t>Daily weight gain (gm)</t>
  </si>
  <si>
    <t>Daily Intke (gm)</t>
  </si>
  <si>
    <t>Cumulative Intake (gm)</t>
  </si>
  <si>
    <t>FCR</t>
  </si>
  <si>
    <t>Optional for Layer</t>
  </si>
  <si>
    <t>Required</t>
  </si>
  <si>
    <t>Market Information</t>
  </si>
  <si>
    <t>For details, see the necessary info with yellow filled column.</t>
  </si>
  <si>
    <t>Sales Target vs Achievement</t>
  </si>
  <si>
    <t>TSO-Technosales (Poultry Feed)</t>
  </si>
  <si>
    <t>Sales Target and Achievement</t>
  </si>
  <si>
    <t>Brown Layer Performance</t>
  </si>
  <si>
    <t>Age (Week)</t>
  </si>
  <si>
    <t>Ave. Body Weigt (gm)</t>
  </si>
  <si>
    <t>Ave. Feed intake (gm/day/bird)</t>
  </si>
  <si>
    <t>Dealer/ Sub-dealer visit</t>
  </si>
  <si>
    <t>-</t>
  </si>
  <si>
    <t>Dealer/Sub-dealer Conversion</t>
  </si>
  <si>
    <t>Credit Realization</t>
  </si>
  <si>
    <t>Techno Sales (Cattle Feed)</t>
  </si>
  <si>
    <t>Dealer/Sub-dealer visit</t>
  </si>
  <si>
    <t>White layer performance</t>
  </si>
  <si>
    <t>Current data</t>
  </si>
  <si>
    <t>No. of birds</t>
  </si>
  <si>
    <t>Feed Consumed (bag)</t>
  </si>
  <si>
    <t>Feed consumption (Auto)</t>
  </si>
  <si>
    <t>Ave. Weight (gm)</t>
  </si>
  <si>
    <t>Ave. weight (gm)/bird (Auto)</t>
  </si>
  <si>
    <t>FCR (auto)</t>
  </si>
  <si>
    <t>No. of feeders</t>
  </si>
  <si>
    <t>Required no. of feeders (auto)</t>
  </si>
  <si>
    <t>No. of drinkers</t>
  </si>
  <si>
    <t>Required no. of drinkers (auto)</t>
  </si>
  <si>
    <t>Occupied floor space (Sft)</t>
  </si>
  <si>
    <t>Required floor spaces (Sft) (auto)</t>
  </si>
  <si>
    <t>Inside temperature (Shed)</t>
  </si>
  <si>
    <t>Std. inside temperature (Shed)</t>
  </si>
  <si>
    <t>General Cost</t>
  </si>
  <si>
    <t>Particulars</t>
  </si>
  <si>
    <t>Amount</t>
  </si>
  <si>
    <t>Building fare</t>
  </si>
  <si>
    <t>Feeder</t>
  </si>
  <si>
    <t>Drinker</t>
  </si>
  <si>
    <t>Curtain</t>
  </si>
  <si>
    <t>Chick guard</t>
  </si>
  <si>
    <t>Hoover</t>
  </si>
  <si>
    <t>Other equipment</t>
  </si>
  <si>
    <t>Rearing cost</t>
  </si>
  <si>
    <t>DOC price</t>
  </si>
  <si>
    <t>Feed price (times)</t>
  </si>
  <si>
    <t>Litter</t>
  </si>
  <si>
    <t>Paper</t>
  </si>
  <si>
    <t>Electricity</t>
  </si>
  <si>
    <t>Vaccines</t>
  </si>
  <si>
    <t>Medication</t>
  </si>
  <si>
    <t>Labour</t>
  </si>
  <si>
    <t>Miscellaneous</t>
  </si>
  <si>
    <t>Production</t>
  </si>
  <si>
    <t>Quantity/amount</t>
  </si>
  <si>
    <t>No. of mortality</t>
  </si>
  <si>
    <t>No. of sold birds</t>
  </si>
  <si>
    <t>Total feed (bag)</t>
  </si>
  <si>
    <t>Total weight (Kg)</t>
  </si>
  <si>
    <t>Weight/bag (Kg)</t>
  </si>
  <si>
    <t>Production cost/Kg (Auto)</t>
  </si>
  <si>
    <t>Revenue</t>
  </si>
  <si>
    <t>Price/Kg</t>
  </si>
  <si>
    <t>Total sales price (auto)</t>
  </si>
  <si>
    <t>Income (Others)</t>
  </si>
  <si>
    <t>Benefit calculation</t>
  </si>
  <si>
    <t>Profit/Loss</t>
  </si>
  <si>
    <t>Self-life (Years)</t>
  </si>
  <si>
    <t>Quantity</t>
  </si>
  <si>
    <t>Total Cost</t>
  </si>
  <si>
    <t>Cost/Year</t>
  </si>
  <si>
    <t>Cost/Batch</t>
  </si>
  <si>
    <t>Building</t>
  </si>
  <si>
    <t>TSO-Technosales (Fish Feed)</t>
  </si>
  <si>
    <t>Equipments</t>
  </si>
  <si>
    <t>Unit Cost</t>
  </si>
  <si>
    <t>DOC</t>
  </si>
  <si>
    <t>Feed</t>
  </si>
  <si>
    <t>Layer Cost Benefit Analysis (1000 birds)</t>
  </si>
  <si>
    <t>Cost upto 16 wks</t>
  </si>
  <si>
    <t>Rate</t>
  </si>
  <si>
    <t>Cost</t>
  </si>
  <si>
    <t>Daily Data</t>
  </si>
  <si>
    <t>DOC cost</t>
  </si>
  <si>
    <t>Feed (LS) upto 8wks (kg)</t>
  </si>
  <si>
    <t>Feed (LG) upto 16wks (kg)</t>
  </si>
  <si>
    <t>Total feed required upto 16wks (kg)</t>
  </si>
  <si>
    <t>Total feed consumed per bird (kg)</t>
  </si>
  <si>
    <t>Shed Cost</t>
  </si>
  <si>
    <t>Medicine+ Deworming</t>
  </si>
  <si>
    <t>Building &amp; Equipments</t>
  </si>
  <si>
    <t>Vaccination</t>
  </si>
  <si>
    <t>Debeaking</t>
  </si>
  <si>
    <t>Transport</t>
  </si>
  <si>
    <t>House Rent</t>
  </si>
  <si>
    <t>Depreciation (Structural)</t>
  </si>
  <si>
    <t>Depreciation (Equipments)</t>
  </si>
  <si>
    <t>Interest</t>
  </si>
  <si>
    <t>Cost upto 16 wks (without feed)</t>
  </si>
  <si>
    <t>Total cost upto 16 wks</t>
  </si>
  <si>
    <t>Av.cost per bird</t>
  </si>
  <si>
    <t>Cost 16 wks  to 88 wks</t>
  </si>
  <si>
    <t>Feed (LL-1) from 16wks to 88wks (kg)</t>
  </si>
  <si>
    <t>Total feed required 0 wk to 88 wks (kg)</t>
  </si>
  <si>
    <t>Equipments ( Cage )</t>
  </si>
  <si>
    <t>Liveability</t>
  </si>
  <si>
    <t>Depreciation (Equipments-Cage)</t>
  </si>
  <si>
    <t>Meat Production (Kg)</t>
  </si>
  <si>
    <t>Cost 16 wks to 88 wks( Without Feed)</t>
  </si>
  <si>
    <t>Total Cost 16 wks to 88 wks</t>
  </si>
  <si>
    <t>Total Cost 0 wk to 88 wks</t>
  </si>
  <si>
    <t>Income</t>
  </si>
  <si>
    <t>Selling eggs (av.6.80tk/ egg): 466 days*1000*85 %: 850*6.80*466 (Production av.85%)</t>
  </si>
  <si>
    <t>Litter selling:500 ton*150</t>
  </si>
  <si>
    <t>Selling culling birds:950*2kg:1900kg*210tk</t>
  </si>
  <si>
    <t>Others(bags, plastics, equipments) :1300 bags*11tk</t>
  </si>
  <si>
    <t>Production cost/Kg</t>
  </si>
  <si>
    <t>Total Loss: 3181780-4090770 = (-)908990tk</t>
  </si>
  <si>
    <t>TSO (Core Sales)</t>
  </si>
  <si>
    <t>Prescrition Contents</t>
  </si>
  <si>
    <t>Date of prescription</t>
  </si>
  <si>
    <t>Practitioner's Detail</t>
  </si>
  <si>
    <t>Name</t>
  </si>
  <si>
    <t>Degree</t>
  </si>
  <si>
    <t>Specialization</t>
  </si>
  <si>
    <t>Company</t>
  </si>
  <si>
    <t>Farmer's detail</t>
  </si>
  <si>
    <t>Species</t>
  </si>
  <si>
    <t>Flock/herd size</t>
  </si>
  <si>
    <t>Number of affected/Percentage</t>
  </si>
  <si>
    <t>Age:</t>
  </si>
  <si>
    <t>Diagnosis</t>
  </si>
  <si>
    <t>Clinical history</t>
  </si>
  <si>
    <t>Clinical Sign</t>
  </si>
  <si>
    <t>PM findings</t>
  </si>
  <si>
    <t>Tentative Diagnosis</t>
  </si>
  <si>
    <t>Treatment</t>
  </si>
  <si>
    <t>Blank field</t>
  </si>
  <si>
    <t>Advice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</si>
</sst>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-d"/>
    <numFmt numFmtId="166" formatCode="0.0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8.0"/>
      <color theme="1"/>
      <name val="Roboto"/>
    </font>
    <font>
      <sz val="8.0"/>
      <color rgb="FF000000"/>
      <name val="Roboto"/>
    </font>
    <font>
      <color theme="1"/>
      <name val="Arial"/>
    </font>
    <font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8.0"/>
      <color rgb="FF000000"/>
      <name val="Roboto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u/>
      <color rgb="FF0000FF"/>
    </font>
    <font>
      <b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>
      <color rgb="FF000000"/>
      <name val="Arial"/>
    </font>
    <font>
      <b/>
      <sz val="11.0"/>
      <color rgb="FF000000"/>
      <name val="Arial"/>
    </font>
    <font>
      <b/>
      <sz val="11.0"/>
      <color rgb="FFFFFFFF"/>
      <name val="Carlito"/>
    </font>
    <font>
      <color theme="1"/>
      <name val="Roboto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CF0F3"/>
        <bgColor rgb="FFECF0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E8F4FF"/>
        <bgColor rgb="FFE8F4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2A78D6"/>
        <bgColor rgb="FF2A78D6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84CCC6"/>
        <bgColor rgb="FF84CCC6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FCBCB"/>
      </left>
      <right style="thin">
        <color rgb="FFCFCBCB"/>
      </right>
      <top style="thin">
        <color rgb="FFECF0F3"/>
      </top>
      <bottom style="thin">
        <color rgb="FFECF0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FCBCB"/>
      </left>
      <right style="thin">
        <color rgb="FFCFCBCB"/>
      </right>
      <top style="thin">
        <color rgb="FFCFCBCB"/>
      </top>
      <bottom style="thin">
        <color rgb="FFCFCBC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0" fillId="0" fontId="2" numFmtId="0" xfId="0" applyAlignment="1" applyFont="1">
      <alignment readingOrder="0"/>
    </xf>
    <xf borderId="3" fillId="0" fontId="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2" fontId="2" numFmtId="0" xfId="0" applyAlignment="1" applyBorder="1" applyFill="1" applyFont="1">
      <alignment readingOrder="0"/>
    </xf>
    <xf borderId="3" fillId="0" fontId="4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left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3" fontId="5" numFmtId="0" xfId="0" applyAlignment="1" applyBorder="1" applyFill="1" applyFont="1">
      <alignment horizontal="center" readingOrder="0"/>
    </xf>
    <xf borderId="5" fillId="3" fontId="5" numFmtId="164" xfId="0" applyAlignment="1" applyBorder="1" applyFont="1" applyNumberFormat="1">
      <alignment horizontal="left" readingOrder="0"/>
    </xf>
    <xf borderId="5" fillId="3" fontId="5" numFmtId="0" xfId="0" applyAlignment="1" applyBorder="1" applyFont="1">
      <alignment horizontal="left" readingOrder="0"/>
    </xf>
    <xf borderId="5" fillId="3" fontId="5" numFmtId="0" xfId="0" applyAlignment="1" applyBorder="1" applyFont="1">
      <alignment horizontal="left"/>
    </xf>
    <xf borderId="4" fillId="4" fontId="2" numFmtId="0" xfId="0" applyAlignment="1" applyBorder="1" applyFill="1" applyFont="1">
      <alignment readingOrder="0" shrinkToFit="0" vertical="center" wrapText="1"/>
    </xf>
    <xf borderId="5" fillId="3" fontId="5" numFmtId="0" xfId="0" applyAlignment="1" applyBorder="1" applyFont="1">
      <alignment horizontal="right" readingOrder="0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5" fontId="2" numFmtId="0" xfId="0" applyAlignment="1" applyBorder="1" applyFill="1" applyFont="1">
      <alignment readingOrder="0" shrinkToFit="0" vertical="center" wrapText="1"/>
    </xf>
    <xf borderId="5" fillId="4" fontId="5" numFmtId="0" xfId="0" applyAlignment="1" applyBorder="1" applyFont="1">
      <alignment horizontal="center" readingOrder="0"/>
    </xf>
    <xf borderId="5" fillId="4" fontId="5" numFmtId="164" xfId="0" applyAlignment="1" applyBorder="1" applyFont="1" applyNumberFormat="1">
      <alignment horizontal="left" readingOrder="0"/>
    </xf>
    <xf borderId="5" fillId="4" fontId="5" numFmtId="0" xfId="0" applyAlignment="1" applyBorder="1" applyFont="1">
      <alignment horizontal="left" readingOrder="0"/>
    </xf>
    <xf borderId="5" fillId="4" fontId="5" numFmtId="0" xfId="0" applyAlignment="1" applyBorder="1" applyFont="1">
      <alignment horizontal="left"/>
    </xf>
    <xf borderId="0" fillId="0" fontId="2" numFmtId="0" xfId="0" applyAlignment="1" applyFont="1">
      <alignment readingOrder="0" shrinkToFit="0" vertical="center" wrapText="1"/>
    </xf>
    <xf borderId="5" fillId="4" fontId="5" numFmtId="0" xfId="0" applyAlignment="1" applyBorder="1" applyFont="1">
      <alignment horizontal="right"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5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6" fontId="2" numFmtId="0" xfId="0" applyAlignment="1" applyFill="1" applyFont="1">
      <alignment readingOrder="0"/>
    </xf>
    <xf borderId="0" fillId="5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7" fontId="9" numFmtId="0" xfId="0" applyAlignment="1" applyFill="1" applyFont="1">
      <alignment readingOrder="0" shrinkToFit="0" vertical="bottom" wrapText="0"/>
    </xf>
    <xf borderId="0" fillId="0" fontId="9" numFmtId="165" xfId="0" applyAlignment="1" applyFont="1" applyNumberFormat="1">
      <alignment horizontal="center" readingOrder="0" shrinkToFit="0" vertical="bottom" wrapText="0"/>
    </xf>
    <xf borderId="0" fillId="0" fontId="9" numFmtId="2" xfId="0" applyAlignment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5" fontId="8" numFmtId="0" xfId="0" applyAlignment="1" applyFont="1">
      <alignment readingOrder="0" shrinkToFit="0" vertical="bottom" wrapText="0"/>
    </xf>
    <xf borderId="0" fillId="8" fontId="2" numFmtId="0" xfId="0" applyAlignment="1" applyFill="1" applyFont="1">
      <alignment readingOrder="0"/>
    </xf>
    <xf borderId="4" fillId="0" fontId="2" numFmtId="0" xfId="0" applyBorder="1" applyFont="1"/>
    <xf borderId="0" fillId="9" fontId="2" numFmtId="0" xfId="0" applyAlignment="1" applyFill="1" applyFont="1">
      <alignment readingOrder="0"/>
    </xf>
    <xf borderId="0" fillId="0" fontId="9" numFmtId="0" xfId="0" applyAlignment="1" applyFont="1">
      <alignment shrinkToFit="0" vertical="bottom" wrapText="0"/>
    </xf>
    <xf borderId="0" fillId="5" fontId="9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5" fillId="10" fontId="10" numFmtId="0" xfId="0" applyAlignment="1" applyBorder="1" applyFill="1" applyFont="1">
      <alignment horizontal="center" readingOrder="0" vertical="bottom"/>
    </xf>
    <xf borderId="5" fillId="10" fontId="10" numFmtId="0" xfId="0" applyAlignment="1" applyBorder="1" applyFont="1">
      <alignment horizontal="left" vertical="bottom"/>
    </xf>
    <xf borderId="5" fillId="10" fontId="10" numFmtId="0" xfId="0" applyAlignment="1" applyBorder="1" applyFont="1">
      <alignment horizontal="right" readingOrder="0" vertical="bottom"/>
    </xf>
    <xf borderId="0" fillId="5" fontId="2" numFmtId="0" xfId="0" applyAlignment="1" applyFont="1">
      <alignment readingOrder="0"/>
    </xf>
    <xf borderId="5" fillId="10" fontId="10" numFmtId="0" xfId="0" applyAlignment="1" applyBorder="1" applyFont="1">
      <alignment horizontal="right" vertical="bottom"/>
    </xf>
    <xf borderId="0" fillId="7" fontId="2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7" fontId="9" numFmtId="0" xfId="0" applyAlignment="1" applyFont="1">
      <alignment horizontal="left" readingOrder="0" shrinkToFit="0" vertical="bottom" wrapText="0"/>
    </xf>
    <xf borderId="0" fillId="5" fontId="1" numFmtId="0" xfId="0" applyAlignment="1" applyFont="1">
      <alignment readingOrder="0"/>
    </xf>
    <xf borderId="0" fillId="12" fontId="2" numFmtId="0" xfId="0" applyAlignment="1" applyFill="1" applyFont="1">
      <alignment readingOrder="0"/>
    </xf>
    <xf borderId="0" fillId="5" fontId="8" numFmtId="0" xfId="0" applyAlignment="1" applyFont="1">
      <alignment horizontal="center" readingOrder="0" shrinkToFit="0" vertical="bottom" wrapText="0"/>
    </xf>
    <xf borderId="6" fillId="13" fontId="11" numFmtId="0" xfId="0" applyAlignment="1" applyBorder="1" applyFill="1" applyFont="1">
      <alignment horizontal="center" readingOrder="0" shrinkToFit="0" wrapText="0"/>
    </xf>
    <xf borderId="0" fillId="14" fontId="2" numFmtId="0" xfId="0" applyAlignment="1" applyFill="1" applyFont="1">
      <alignment readingOrder="0"/>
    </xf>
    <xf borderId="6" fillId="0" fontId="12" numFmtId="0" xfId="0" applyAlignment="1" applyBorder="1" applyFont="1">
      <alignment horizontal="center" readingOrder="0" shrinkToFit="0" wrapText="0"/>
    </xf>
    <xf borderId="6" fillId="0" fontId="13" numFmtId="0" xfId="0" applyAlignment="1" applyBorder="1" applyFont="1">
      <alignment horizontal="left" readingOrder="0" shrinkToFit="0" wrapText="0"/>
    </xf>
    <xf borderId="6" fillId="0" fontId="12" numFmtId="0" xfId="0" applyAlignment="1" applyBorder="1" applyFont="1">
      <alignment horizontal="left" readingOrder="0" shrinkToFit="0" wrapText="0"/>
    </xf>
    <xf borderId="0" fillId="1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shrinkToFit="0" vertical="bottom" wrapText="0"/>
    </xf>
    <xf borderId="0" fillId="0" fontId="17" numFmtId="1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0" fontId="20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horizontal="right" readingOrder="0" vertical="bottom"/>
    </xf>
    <xf borderId="0" fillId="5" fontId="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7" numFmtId="0" xfId="0" applyAlignment="1" applyFont="1">
      <alignment readingOrder="0" shrinkToFit="0" vertical="bottom" wrapText="0"/>
    </xf>
    <xf borderId="0" fillId="16" fontId="16" numFmtId="0" xfId="0" applyAlignment="1" applyFill="1" applyFont="1">
      <alignment readingOrder="0" shrinkToFit="0" vertical="bottom" wrapText="0"/>
    </xf>
    <xf borderId="0" fillId="7" fontId="9" numFmtId="0" xfId="0" applyAlignment="1" applyFont="1">
      <alignment readingOrder="0" vertical="bottom"/>
    </xf>
    <xf borderId="0" fillId="7" fontId="9" numFmtId="0" xfId="0" applyAlignment="1" applyFont="1">
      <alignment horizontal="right" readingOrder="0" vertical="bottom"/>
    </xf>
    <xf borderId="0" fillId="7" fontId="9" numFmtId="0" xfId="0" applyAlignment="1" applyFont="1">
      <alignment vertical="bottom"/>
    </xf>
    <xf borderId="0" fillId="5" fontId="16" numFmtId="0" xfId="0" applyAlignment="1" applyFont="1">
      <alignment readingOrder="0" shrinkToFit="0" vertical="bottom" wrapText="0"/>
    </xf>
    <xf borderId="0" fillId="15" fontId="16" numFmtId="0" xfId="0" applyAlignment="1" applyFont="1">
      <alignment readingOrder="0" shrinkToFit="0" vertical="bottom" wrapText="0"/>
    </xf>
    <xf borderId="0" fillId="4" fontId="15" numFmtId="0" xfId="0" applyAlignment="1" applyFont="1">
      <alignment readingOrder="0" vertical="bottom"/>
    </xf>
    <xf borderId="0" fillId="5" fontId="19" numFmtId="0" xfId="0" applyAlignment="1" applyFont="1">
      <alignment readingOrder="0" vertical="bottom"/>
    </xf>
    <xf borderId="0" fillId="7" fontId="19" numFmtId="0" xfId="0" applyAlignment="1" applyFont="1">
      <alignment readingOrder="0" vertical="bottom"/>
    </xf>
    <xf borderId="0" fillId="17" fontId="6" numFmtId="0" xfId="0" applyFill="1" applyFont="1"/>
    <xf borderId="7" fillId="17" fontId="6" numFmtId="0" xfId="0" applyAlignment="1" applyBorder="1" applyFont="1">
      <alignment horizontal="center"/>
    </xf>
    <xf borderId="7" fillId="17" fontId="6" numFmtId="0" xfId="0" applyBorder="1" applyFont="1"/>
    <xf borderId="0" fillId="15" fontId="19" numFmtId="0" xfId="0" applyAlignment="1" applyFont="1">
      <alignment readingOrder="0" vertical="bottom"/>
    </xf>
    <xf borderId="0" fillId="15" fontId="19" numFmtId="0" xfId="0" applyAlignment="1" applyFont="1">
      <alignment horizontal="right" readingOrder="0" vertical="bottom"/>
    </xf>
    <xf borderId="7" fillId="17" fontId="6" numFmtId="0" xfId="0" applyAlignment="1" applyBorder="1" applyFont="1">
      <alignment horizontal="center" shrinkToFit="0" wrapText="1"/>
    </xf>
    <xf borderId="0" fillId="15" fontId="19" numFmtId="0" xfId="0" applyAlignment="1" applyFont="1">
      <alignment vertical="bottom"/>
    </xf>
    <xf borderId="4" fillId="18" fontId="21" numFmtId="0" xfId="0" applyAlignment="1" applyBorder="1" applyFill="1" applyFont="1">
      <alignment horizontal="center"/>
    </xf>
    <xf borderId="0" fillId="4" fontId="1" numFmtId="0" xfId="0" applyAlignment="1" applyFont="1">
      <alignment readingOrder="0"/>
    </xf>
    <xf borderId="7" fillId="17" fontId="6" numFmtId="166" xfId="0" applyAlignment="1" applyBorder="1" applyFont="1" applyNumberFormat="1">
      <alignment horizontal="center"/>
    </xf>
    <xf borderId="7" fillId="17" fontId="6" numFmtId="0" xfId="0" applyAlignment="1" applyBorder="1" applyFont="1">
      <alignment horizontal="center" shrinkToFit="0" wrapText="0"/>
    </xf>
    <xf borderId="4" fillId="17" fontId="22" numFmtId="0" xfId="0" applyAlignment="1" applyBorder="1" applyFont="1">
      <alignment horizontal="center" shrinkToFit="0" wrapText="1"/>
    </xf>
    <xf borderId="0" fillId="0" fontId="6" numFmtId="0" xfId="0" applyFont="1"/>
    <xf borderId="4" fillId="0" fontId="6" numFmtId="0" xfId="0" applyBorder="1" applyFont="1"/>
    <xf borderId="4" fillId="0" fontId="22" numFmtId="0" xfId="0" applyAlignment="1" applyBorder="1" applyFont="1">
      <alignment horizontal="center"/>
    </xf>
    <xf borderId="7" fillId="0" fontId="23" numFmtId="0" xfId="0" applyAlignment="1" applyBorder="1" applyFont="1">
      <alignment shrinkToFit="0" wrapText="1"/>
    </xf>
    <xf borderId="4" fillId="19" fontId="22" numFmtId="0" xfId="0" applyBorder="1" applyFill="1" applyFont="1"/>
    <xf borderId="7" fillId="0" fontId="23" numFmtId="0" xfId="0" applyAlignment="1" applyBorder="1" applyFont="1">
      <alignment horizontal="center" shrinkToFit="0" wrapText="1"/>
    </xf>
    <xf borderId="4" fillId="0" fontId="6" numFmtId="9" xfId="0" applyBorder="1" applyFont="1" applyNumberFormat="1"/>
    <xf borderId="4" fillId="0" fontId="22" numFmtId="9" xfId="0" applyAlignment="1" applyBorder="1" applyFont="1" applyNumberFormat="1">
      <alignment horizontal="center"/>
    </xf>
    <xf borderId="4" fillId="0" fontId="22" numFmtId="166" xfId="0" applyAlignment="1" applyBorder="1" applyFont="1" applyNumberFormat="1">
      <alignment horizontal="center" shrinkToFit="0" wrapText="0"/>
    </xf>
    <xf borderId="4" fillId="0" fontId="6" numFmtId="166" xfId="0" applyBorder="1" applyFont="1" applyNumberFormat="1"/>
    <xf borderId="0" fillId="0" fontId="2" numFmtId="0" xfId="0" applyAlignment="1" applyFont="1">
      <alignment horizontal="center" readingOrder="0" shrinkToFit="0" wrapText="1"/>
    </xf>
    <xf borderId="8" fillId="0" fontId="2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9" fillId="0" fontId="23" numFmtId="0" xfId="0" applyAlignment="1" applyBorder="1" applyFont="1">
      <alignment shrinkToFit="0" wrapText="1"/>
    </xf>
    <xf borderId="0" fillId="0" fontId="2" numFmtId="2" xfId="0" applyAlignment="1" applyFont="1" applyNumberFormat="1">
      <alignment horizontal="center"/>
    </xf>
    <xf borderId="7" fillId="20" fontId="23" numFmtId="0" xfId="0" applyAlignment="1" applyBorder="1" applyFill="1" applyFont="1">
      <alignment shrinkToFit="0" wrapText="1"/>
    </xf>
    <xf borderId="7" fillId="0" fontId="6" numFmtId="0" xfId="0" applyAlignment="1" applyBorder="1" applyFont="1">
      <alignment vertical="bottom"/>
    </xf>
    <xf borderId="4" fillId="19" fontId="6" numFmtId="0" xfId="0" applyBorder="1" applyFont="1"/>
    <xf borderId="7" fillId="0" fontId="23" numFmtId="0" xfId="0" applyAlignment="1" applyBorder="1" applyFont="1">
      <alignment shrinkToFit="0" vertical="bottom" wrapText="1"/>
    </xf>
    <xf borderId="7" fillId="0" fontId="2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horizontal="center" readingOrder="0"/>
    </xf>
    <xf borderId="7" fillId="20" fontId="23" numFmtId="0" xfId="0" applyAlignment="1" applyBorder="1" applyFont="1">
      <alignment shrinkToFit="0" vertical="bottom" wrapText="1"/>
    </xf>
    <xf borderId="10" fillId="0" fontId="24" numFmtId="0" xfId="0" applyAlignment="1" applyBorder="1" applyFont="1">
      <alignment horizontal="center" shrinkToFit="0" wrapText="1"/>
    </xf>
    <xf borderId="11" fillId="0" fontId="24" numFmtId="0" xfId="0" applyAlignment="1" applyBorder="1" applyFont="1">
      <alignment horizontal="center" shrinkToFit="0" wrapText="1"/>
    </xf>
    <xf borderId="12" fillId="0" fontId="24" numFmtId="0" xfId="0" applyAlignment="1" applyBorder="1" applyFont="1">
      <alignment horizontal="center" shrinkToFit="0" wrapText="1"/>
    </xf>
    <xf borderId="13" fillId="0" fontId="24" numFmtId="0" xfId="0" applyAlignment="1" applyBorder="1" applyFont="1">
      <alignment horizontal="center" vertical="bottom"/>
    </xf>
    <xf borderId="4" fillId="0" fontId="24" numFmtId="0" xfId="0" applyAlignment="1" applyBorder="1" applyFont="1">
      <alignment vertical="bottom"/>
    </xf>
    <xf borderId="4" fillId="0" fontId="24" numFmtId="0" xfId="0" applyAlignment="1" applyBorder="1" applyFont="1">
      <alignment horizontal="center" vertical="bottom"/>
    </xf>
    <xf borderId="4" fillId="0" fontId="24" numFmtId="0" xfId="0" applyAlignment="1" applyBorder="1" applyFont="1">
      <alignment horizontal="right" vertical="bottom"/>
    </xf>
    <xf borderId="4" fillId="0" fontId="24" numFmtId="1" xfId="0" applyAlignment="1" applyBorder="1" applyFont="1" applyNumberFormat="1">
      <alignment horizontal="right" vertical="bottom"/>
    </xf>
    <xf borderId="14" fillId="0" fontId="24" numFmtId="1" xfId="0" applyAlignment="1" applyBorder="1" applyFont="1" applyNumberFormat="1">
      <alignment horizontal="right" vertical="bottom"/>
    </xf>
    <xf borderId="15" fillId="0" fontId="23" numFmtId="0" xfId="0" applyAlignment="1" applyBorder="1" applyFont="1">
      <alignment vertical="bottom"/>
    </xf>
    <xf borderId="16" fillId="0" fontId="24" numFmtId="0" xfId="0" applyAlignment="1" applyBorder="1" applyFont="1">
      <alignment vertical="bottom"/>
    </xf>
    <xf borderId="16" fillId="0" fontId="23" numFmtId="0" xfId="0" applyAlignment="1" applyBorder="1" applyFont="1">
      <alignment vertical="bottom"/>
    </xf>
    <xf borderId="16" fillId="0" fontId="24" numFmtId="1" xfId="0" applyAlignment="1" applyBorder="1" applyFont="1" applyNumberFormat="1">
      <alignment horizontal="right" vertical="bottom"/>
    </xf>
    <xf borderId="17" fillId="0" fontId="24" numFmtId="1" xfId="0" applyAlignment="1" applyBorder="1" applyFont="1" applyNumberFormat="1">
      <alignment horizontal="right" vertical="bottom"/>
    </xf>
    <xf borderId="0" fillId="0" fontId="23" numFmtId="0" xfId="0" applyAlignment="1" applyFont="1">
      <alignment vertical="bottom"/>
    </xf>
    <xf borderId="10" fillId="0" fontId="24" numFmtId="0" xfId="0" applyAlignment="1" applyBorder="1" applyFont="1">
      <alignment vertical="bottom"/>
    </xf>
    <xf borderId="11" fillId="0" fontId="24" numFmtId="0" xfId="0" applyAlignment="1" applyBorder="1" applyFont="1">
      <alignment vertical="bottom"/>
    </xf>
    <xf borderId="12" fillId="0" fontId="24" numFmtId="0" xfId="0" applyAlignment="1" applyBorder="1" applyFont="1">
      <alignment vertical="bottom"/>
    </xf>
    <xf borderId="0" fillId="0" fontId="2" numFmtId="3" xfId="0" applyAlignment="1" applyFont="1" applyNumberFormat="1">
      <alignment readingOrder="0"/>
    </xf>
    <xf borderId="0" fillId="0" fontId="23" numFmtId="1" xfId="0" applyAlignment="1" applyFont="1" applyNumberFormat="1">
      <alignment vertical="bottom"/>
    </xf>
    <xf borderId="12" fillId="0" fontId="24" numFmtId="0" xfId="0" applyAlignment="1" applyBorder="1" applyFont="1">
      <alignment horizontal="right" vertical="bottom"/>
    </xf>
    <xf borderId="13" fillId="0" fontId="24" numFmtId="0" xfId="0" applyAlignment="1" applyBorder="1" applyFont="1">
      <alignment vertical="bottom"/>
    </xf>
    <xf borderId="14" fillId="0" fontId="24" numFmtId="0" xfId="0" applyAlignment="1" applyBorder="1" applyFont="1">
      <alignment horizontal="right" vertical="bottom"/>
    </xf>
    <xf borderId="15" fillId="0" fontId="25" numFmtId="0" xfId="0" applyAlignment="1" applyBorder="1" applyFont="1">
      <alignment vertical="bottom"/>
    </xf>
    <xf borderId="17" fillId="0" fontId="25" numFmtId="1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shrinkToFit="0" wrapText="0"/>
    </xf>
    <xf borderId="4" fillId="0" fontId="9" numFmtId="0" xfId="0" applyAlignment="1" applyBorder="1" applyFont="1">
      <alignment horizontal="center" shrinkToFit="0" wrapText="0"/>
    </xf>
    <xf borderId="0" fillId="19" fontId="6" numFmtId="0" xfId="0" applyFont="1"/>
    <xf borderId="0" fillId="0" fontId="6" numFmtId="9" xfId="0" applyFont="1" applyNumberFormat="1"/>
    <xf borderId="0" fillId="0" fontId="6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rp.ibos.io/sales-management/dashboard/farmVisitReport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rp.ibos.io/sales-management/dashboard/farmVisitRepor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4" max="24" width="11.38"/>
    <col customWidth="1" min="26" max="26" width="11.25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13" t="s">
        <v>45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>
      <c r="A5" s="14" t="s">
        <v>64</v>
      </c>
      <c r="B5" s="14" t="s">
        <v>14</v>
      </c>
      <c r="C5" s="14" t="s">
        <v>19</v>
      </c>
      <c r="D5" s="14" t="s">
        <v>20</v>
      </c>
      <c r="E5" s="14" t="s">
        <v>22</v>
      </c>
      <c r="F5" s="14" t="s">
        <v>23</v>
      </c>
      <c r="G5" s="14" t="s">
        <v>67</v>
      </c>
      <c r="H5" s="14" t="s">
        <v>69</v>
      </c>
      <c r="I5" s="14" t="s">
        <v>71</v>
      </c>
      <c r="J5" s="14" t="s">
        <v>28</v>
      </c>
      <c r="K5" s="14" t="s">
        <v>74</v>
      </c>
      <c r="L5" s="14" t="s">
        <v>76</v>
      </c>
      <c r="M5" s="14" t="s">
        <v>31</v>
      </c>
      <c r="N5" s="19" t="s">
        <v>79</v>
      </c>
      <c r="O5" s="14" t="s">
        <v>82</v>
      </c>
      <c r="P5" s="14" t="s">
        <v>83</v>
      </c>
      <c r="Q5" s="14" t="s">
        <v>37</v>
      </c>
      <c r="R5" s="14" t="s">
        <v>85</v>
      </c>
      <c r="S5" s="14" t="s">
        <v>87</v>
      </c>
      <c r="T5" s="14" t="s">
        <v>40</v>
      </c>
      <c r="U5" s="14" t="s">
        <v>41</v>
      </c>
      <c r="V5" s="14" t="s">
        <v>42</v>
      </c>
      <c r="W5" s="14" t="s">
        <v>44</v>
      </c>
      <c r="X5" s="14" t="s">
        <v>92</v>
      </c>
      <c r="Y5" s="23" t="s">
        <v>94</v>
      </c>
      <c r="Z5" s="23" t="s">
        <v>99</v>
      </c>
      <c r="AA5" s="23" t="s">
        <v>101</v>
      </c>
      <c r="AB5" s="23" t="s">
        <v>103</v>
      </c>
      <c r="AC5" s="23" t="s">
        <v>105</v>
      </c>
      <c r="AD5" s="23" t="s">
        <v>107</v>
      </c>
      <c r="AE5" s="23" t="s">
        <v>108</v>
      </c>
      <c r="AF5" s="23" t="s">
        <v>111</v>
      </c>
      <c r="AG5" s="23" t="s">
        <v>115</v>
      </c>
      <c r="AH5" s="23" t="s">
        <v>116</v>
      </c>
      <c r="AI5" s="23" t="s">
        <v>118</v>
      </c>
      <c r="AJ5" s="23" t="s">
        <v>119</v>
      </c>
      <c r="AK5" s="23" t="s">
        <v>120</v>
      </c>
      <c r="AL5" s="14" t="s">
        <v>49</v>
      </c>
      <c r="AM5" s="14" t="s">
        <v>123</v>
      </c>
      <c r="AN5" s="14" t="s">
        <v>125</v>
      </c>
      <c r="AO5" s="14" t="s">
        <v>127</v>
      </c>
      <c r="AP5" s="14" t="s">
        <v>51</v>
      </c>
      <c r="AQ5" s="14" t="s">
        <v>52</v>
      </c>
      <c r="AR5" s="28"/>
      <c r="AS5" s="28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>
      <c r="A8" s="1" t="s">
        <v>150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14" t="s">
        <v>64</v>
      </c>
      <c r="B9" s="14" t="s">
        <v>14</v>
      </c>
      <c r="C9" s="14" t="s">
        <v>19</v>
      </c>
      <c r="D9" s="14" t="s">
        <v>20</v>
      </c>
      <c r="E9" s="14" t="s">
        <v>22</v>
      </c>
      <c r="F9" s="14" t="s">
        <v>23</v>
      </c>
      <c r="G9" s="14" t="s">
        <v>67</v>
      </c>
      <c r="H9" s="14" t="s">
        <v>69</v>
      </c>
      <c r="I9" s="14" t="s">
        <v>71</v>
      </c>
      <c r="J9" s="14" t="s">
        <v>28</v>
      </c>
      <c r="K9" s="14" t="s">
        <v>74</v>
      </c>
      <c r="L9" s="14" t="s">
        <v>76</v>
      </c>
      <c r="M9" s="14" t="s">
        <v>31</v>
      </c>
      <c r="N9" s="19" t="s">
        <v>79</v>
      </c>
      <c r="O9" s="14" t="s">
        <v>82</v>
      </c>
      <c r="P9" s="14" t="s">
        <v>168</v>
      </c>
      <c r="Q9" s="14" t="s">
        <v>83</v>
      </c>
      <c r="R9" s="14" t="s">
        <v>169</v>
      </c>
      <c r="S9" s="14" t="s">
        <v>85</v>
      </c>
      <c r="T9" s="14" t="s">
        <v>87</v>
      </c>
      <c r="U9" s="14" t="s">
        <v>40</v>
      </c>
      <c r="V9" s="14" t="s">
        <v>41</v>
      </c>
      <c r="W9" s="14" t="s">
        <v>171</v>
      </c>
      <c r="X9" s="14" t="s">
        <v>173</v>
      </c>
      <c r="Y9" s="14" t="s">
        <v>44</v>
      </c>
      <c r="Z9" s="14" t="s">
        <v>92</v>
      </c>
      <c r="AA9" s="14" t="s">
        <v>176</v>
      </c>
      <c r="AB9" s="23" t="s">
        <v>179</v>
      </c>
      <c r="AC9" s="23" t="s">
        <v>180</v>
      </c>
      <c r="AD9" s="23" t="s">
        <v>111</v>
      </c>
      <c r="AE9" s="23" t="s">
        <v>115</v>
      </c>
      <c r="AF9" s="23" t="s">
        <v>116</v>
      </c>
      <c r="AG9" s="23" t="s">
        <v>118</v>
      </c>
      <c r="AH9" s="23" t="s">
        <v>119</v>
      </c>
      <c r="AI9" s="23" t="s">
        <v>120</v>
      </c>
      <c r="AJ9" s="23" t="s">
        <v>49</v>
      </c>
      <c r="AK9" s="14" t="s">
        <v>123</v>
      </c>
      <c r="AL9" s="14" t="s">
        <v>125</v>
      </c>
      <c r="AM9" s="14" t="s">
        <v>127</v>
      </c>
      <c r="AN9" s="14" t="s">
        <v>51</v>
      </c>
      <c r="AO9" s="14" t="s">
        <v>52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</sheetData>
  <mergeCells count="3">
    <mergeCell ref="A1:C1"/>
    <mergeCell ref="A4:B4"/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5" t="s">
        <v>2</v>
      </c>
      <c r="D2" s="5" t="s">
        <v>5</v>
      </c>
    </row>
    <row r="3">
      <c r="C3" s="5" t="s">
        <v>6</v>
      </c>
      <c r="D3" s="5" t="s">
        <v>7</v>
      </c>
    </row>
    <row r="4">
      <c r="C4" s="5" t="s">
        <v>8</v>
      </c>
      <c r="D4" s="5" t="s">
        <v>9</v>
      </c>
    </row>
    <row r="5">
      <c r="C5" s="5" t="s">
        <v>10</v>
      </c>
      <c r="D5" s="5" t="s">
        <v>11</v>
      </c>
    </row>
    <row r="6">
      <c r="C6" s="5" t="s">
        <v>12</v>
      </c>
      <c r="D6" s="5" t="s">
        <v>13</v>
      </c>
    </row>
    <row r="7">
      <c r="C7" s="5" t="s">
        <v>15</v>
      </c>
    </row>
    <row r="8">
      <c r="C8" s="5" t="s">
        <v>16</v>
      </c>
      <c r="D8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6" t="s">
        <v>3</v>
      </c>
      <c r="C3" s="8" t="s">
        <v>14</v>
      </c>
      <c r="D3" s="8" t="s">
        <v>19</v>
      </c>
      <c r="E3" s="8" t="s">
        <v>20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27</v>
      </c>
      <c r="K3" s="8" t="s">
        <v>28</v>
      </c>
      <c r="L3" s="8" t="s">
        <v>29</v>
      </c>
      <c r="M3" s="12" t="s">
        <v>30</v>
      </c>
      <c r="N3" s="12" t="s">
        <v>31</v>
      </c>
      <c r="O3" s="12" t="s">
        <v>34</v>
      </c>
      <c r="P3" s="8" t="s">
        <v>35</v>
      </c>
      <c r="Q3" s="8" t="s">
        <v>37</v>
      </c>
      <c r="R3" s="12" t="s">
        <v>38</v>
      </c>
      <c r="S3" s="12" t="s">
        <v>39</v>
      </c>
      <c r="T3" s="12" t="s">
        <v>40</v>
      </c>
      <c r="U3" s="12" t="s">
        <v>41</v>
      </c>
      <c r="V3" s="12" t="s">
        <v>42</v>
      </c>
      <c r="W3" s="8" t="s">
        <v>44</v>
      </c>
      <c r="X3" s="8" t="s">
        <v>46</v>
      </c>
      <c r="Y3" s="8" t="s">
        <v>48</v>
      </c>
      <c r="Z3" s="8" t="s">
        <v>49</v>
      </c>
      <c r="AA3" s="8" t="s">
        <v>50</v>
      </c>
      <c r="AB3" s="8" t="s">
        <v>51</v>
      </c>
      <c r="AC3" s="12" t="s">
        <v>52</v>
      </c>
      <c r="AD3" s="8" t="s">
        <v>53</v>
      </c>
      <c r="AE3" s="8" t="s">
        <v>55</v>
      </c>
      <c r="AF3" s="8" t="s">
        <v>56</v>
      </c>
      <c r="AG3" s="8" t="s">
        <v>57</v>
      </c>
      <c r="AH3" s="8" t="s">
        <v>58</v>
      </c>
      <c r="AI3" s="8" t="s">
        <v>59</v>
      </c>
      <c r="AJ3" s="8" t="s">
        <v>60</v>
      </c>
      <c r="AK3" s="8" t="s">
        <v>58</v>
      </c>
      <c r="AL3" s="12" t="s">
        <v>62</v>
      </c>
      <c r="AM3" s="12" t="s">
        <v>63</v>
      </c>
    </row>
    <row r="4">
      <c r="B4" s="15">
        <v>1.0</v>
      </c>
      <c r="C4" s="16">
        <v>46146.0</v>
      </c>
      <c r="D4" s="17" t="s">
        <v>66</v>
      </c>
      <c r="E4" s="17" t="s">
        <v>70</v>
      </c>
      <c r="F4" s="17" t="s">
        <v>72</v>
      </c>
      <c r="G4" s="17" t="s">
        <v>73</v>
      </c>
      <c r="H4" s="17">
        <v>1.72354168E8</v>
      </c>
      <c r="I4" s="18"/>
      <c r="J4" s="17" t="s">
        <v>78</v>
      </c>
      <c r="K4" s="17" t="s">
        <v>70</v>
      </c>
      <c r="L4" s="17" t="s">
        <v>81</v>
      </c>
      <c r="M4" s="20">
        <v>2000.0</v>
      </c>
      <c r="N4" s="20">
        <v>1.0</v>
      </c>
      <c r="O4" s="20">
        <v>1000.0</v>
      </c>
      <c r="P4" s="17" t="s">
        <v>88</v>
      </c>
      <c r="Q4" s="17" t="s">
        <v>90</v>
      </c>
      <c r="R4" s="20">
        <v>4.0</v>
      </c>
      <c r="S4" s="20">
        <v>5.0</v>
      </c>
      <c r="T4" s="20">
        <v>200.0</v>
      </c>
      <c r="U4" s="20">
        <v>0.0</v>
      </c>
      <c r="V4" s="20">
        <v>0.8</v>
      </c>
      <c r="W4" s="17" t="s">
        <v>93</v>
      </c>
      <c r="X4" s="17" t="s">
        <v>97</v>
      </c>
      <c r="Y4" s="18"/>
      <c r="Z4" s="18"/>
      <c r="AA4" s="18"/>
      <c r="AB4" s="17" t="s">
        <v>102</v>
      </c>
      <c r="AC4" s="20">
        <v>565511.0</v>
      </c>
      <c r="AD4" s="17" t="s">
        <v>104</v>
      </c>
      <c r="AE4" s="18"/>
      <c r="AF4" s="18"/>
      <c r="AG4" s="18"/>
      <c r="AH4" s="17" t="s">
        <v>109</v>
      </c>
      <c r="AI4" s="18"/>
      <c r="AJ4" s="18"/>
      <c r="AK4" s="17" t="s">
        <v>109</v>
      </c>
      <c r="AL4" s="20">
        <v>0.0</v>
      </c>
      <c r="AM4" s="20">
        <v>200.0</v>
      </c>
    </row>
    <row r="5">
      <c r="B5" s="24">
        <v>2.0</v>
      </c>
      <c r="C5" s="25">
        <v>46150.0</v>
      </c>
      <c r="D5" s="26" t="s">
        <v>66</v>
      </c>
      <c r="E5" s="26" t="s">
        <v>70</v>
      </c>
      <c r="F5" s="26" t="s">
        <v>72</v>
      </c>
      <c r="G5" s="26" t="s">
        <v>128</v>
      </c>
      <c r="H5" s="26">
        <v>1.911133595E9</v>
      </c>
      <c r="I5" s="27"/>
      <c r="J5" s="26" t="s">
        <v>78</v>
      </c>
      <c r="K5" s="26" t="s">
        <v>70</v>
      </c>
      <c r="L5" s="26" t="s">
        <v>81</v>
      </c>
      <c r="M5" s="29">
        <v>1000.0</v>
      </c>
      <c r="N5" s="29">
        <v>5.0</v>
      </c>
      <c r="O5" s="29">
        <v>600.0</v>
      </c>
      <c r="P5" s="26" t="s">
        <v>132</v>
      </c>
      <c r="Q5" s="26" t="s">
        <v>133</v>
      </c>
      <c r="R5" s="29">
        <v>45.0</v>
      </c>
      <c r="S5" s="29">
        <v>5.0</v>
      </c>
      <c r="T5" s="29">
        <v>706.0</v>
      </c>
      <c r="U5" s="29">
        <v>0.0</v>
      </c>
      <c r="V5" s="29">
        <v>0.59</v>
      </c>
      <c r="W5" s="26" t="s">
        <v>134</v>
      </c>
      <c r="X5" s="26" t="s">
        <v>97</v>
      </c>
      <c r="Y5" s="27"/>
      <c r="Z5" s="27"/>
      <c r="AA5" s="27"/>
      <c r="AB5" s="26" t="s">
        <v>102</v>
      </c>
      <c r="AC5" s="29">
        <v>565511.0</v>
      </c>
      <c r="AD5" s="26" t="s">
        <v>137</v>
      </c>
      <c r="AE5" s="27"/>
      <c r="AF5" s="27"/>
      <c r="AG5" s="27"/>
      <c r="AH5" s="26" t="s">
        <v>109</v>
      </c>
      <c r="AI5" s="27"/>
      <c r="AJ5" s="27"/>
      <c r="AK5" s="26" t="s">
        <v>109</v>
      </c>
      <c r="AL5" s="29">
        <v>0.0</v>
      </c>
      <c r="AM5" s="29">
        <v>706.0</v>
      </c>
    </row>
    <row r="6">
      <c r="B6" s="15">
        <v>3.0</v>
      </c>
      <c r="C6" s="16">
        <v>46152.0</v>
      </c>
      <c r="D6" s="17" t="s">
        <v>66</v>
      </c>
      <c r="E6" s="17" t="s">
        <v>70</v>
      </c>
      <c r="F6" s="17" t="s">
        <v>72</v>
      </c>
      <c r="G6" s="17" t="s">
        <v>146</v>
      </c>
      <c r="H6" s="17">
        <v>1.711340104E9</v>
      </c>
      <c r="I6" s="18"/>
      <c r="J6" s="17" t="s">
        <v>148</v>
      </c>
      <c r="K6" s="17" t="s">
        <v>70</v>
      </c>
      <c r="L6" s="17" t="s">
        <v>81</v>
      </c>
      <c r="M6" s="20">
        <v>1000.0</v>
      </c>
      <c r="N6" s="20">
        <v>5.0</v>
      </c>
      <c r="O6" s="20">
        <v>1200.0</v>
      </c>
      <c r="P6" s="17" t="s">
        <v>153</v>
      </c>
      <c r="Q6" s="17" t="s">
        <v>90</v>
      </c>
      <c r="R6" s="20">
        <v>124.0</v>
      </c>
      <c r="S6" s="20">
        <v>63.0</v>
      </c>
      <c r="T6" s="20">
        <v>1750.0</v>
      </c>
      <c r="U6" s="20">
        <v>0.0</v>
      </c>
      <c r="V6" s="20">
        <v>0.91</v>
      </c>
      <c r="W6" s="17" t="s">
        <v>158</v>
      </c>
      <c r="X6" s="17" t="s">
        <v>97</v>
      </c>
      <c r="Y6" s="18"/>
      <c r="Z6" s="18"/>
      <c r="AA6" s="18"/>
      <c r="AB6" s="17" t="s">
        <v>102</v>
      </c>
      <c r="AC6" s="20">
        <v>565511.0</v>
      </c>
      <c r="AD6" s="17" t="s">
        <v>104</v>
      </c>
      <c r="AE6" s="18"/>
      <c r="AF6" s="18"/>
      <c r="AG6" s="18"/>
      <c r="AH6" s="17" t="s">
        <v>109</v>
      </c>
      <c r="AI6" s="18"/>
      <c r="AJ6" s="18"/>
      <c r="AK6" s="17" t="s">
        <v>109</v>
      </c>
      <c r="AL6" s="20">
        <v>0.0</v>
      </c>
      <c r="AM6" s="20">
        <v>1750.0</v>
      </c>
    </row>
    <row r="7">
      <c r="B7" s="24">
        <v>4.0</v>
      </c>
      <c r="C7" s="25">
        <v>46154.0</v>
      </c>
      <c r="D7" s="26" t="s">
        <v>66</v>
      </c>
      <c r="E7" s="26" t="s">
        <v>70</v>
      </c>
      <c r="F7" s="26" t="s">
        <v>72</v>
      </c>
      <c r="G7" s="26" t="s">
        <v>174</v>
      </c>
      <c r="H7" s="26" t="s">
        <v>175</v>
      </c>
      <c r="I7" s="27"/>
      <c r="J7" s="26" t="s">
        <v>177</v>
      </c>
      <c r="K7" s="26" t="s">
        <v>70</v>
      </c>
      <c r="L7" s="26" t="s">
        <v>81</v>
      </c>
      <c r="M7" s="29">
        <v>3000.0</v>
      </c>
      <c r="N7" s="29">
        <v>1.0</v>
      </c>
      <c r="O7" s="29">
        <v>2.0</v>
      </c>
      <c r="P7" s="26" t="s">
        <v>182</v>
      </c>
      <c r="Q7" s="26" t="s">
        <v>90</v>
      </c>
      <c r="R7" s="29">
        <v>24.0</v>
      </c>
      <c r="S7" s="29">
        <v>63.0</v>
      </c>
      <c r="T7" s="29">
        <v>1230.0</v>
      </c>
      <c r="U7" s="29">
        <v>0.0</v>
      </c>
      <c r="V7" s="29">
        <v>0.88</v>
      </c>
      <c r="W7" s="26" t="s">
        <v>188</v>
      </c>
      <c r="X7" s="26" t="s">
        <v>191</v>
      </c>
      <c r="Y7" s="27"/>
      <c r="Z7" s="27"/>
      <c r="AA7" s="27"/>
      <c r="AB7" s="26" t="s">
        <v>102</v>
      </c>
      <c r="AC7" s="29">
        <v>565511.0</v>
      </c>
      <c r="AD7" s="26" t="s">
        <v>104</v>
      </c>
      <c r="AE7" s="27"/>
      <c r="AF7" s="27"/>
      <c r="AG7" s="27"/>
      <c r="AH7" s="26" t="s">
        <v>109</v>
      </c>
      <c r="AI7" s="27"/>
      <c r="AJ7" s="27"/>
      <c r="AK7" s="26" t="s">
        <v>109</v>
      </c>
      <c r="AL7" s="29">
        <v>0.0</v>
      </c>
      <c r="AM7" s="29">
        <v>1230.0</v>
      </c>
    </row>
    <row r="8">
      <c r="B8" s="15">
        <v>5.0</v>
      </c>
      <c r="C8" s="16">
        <v>46154.0</v>
      </c>
      <c r="D8" s="17" t="s">
        <v>66</v>
      </c>
      <c r="E8" s="17" t="s">
        <v>70</v>
      </c>
      <c r="F8" s="17" t="s">
        <v>72</v>
      </c>
      <c r="G8" s="17" t="s">
        <v>204</v>
      </c>
      <c r="H8" s="17" t="s">
        <v>206</v>
      </c>
      <c r="I8" s="18"/>
      <c r="J8" s="17" t="s">
        <v>209</v>
      </c>
      <c r="K8" s="17" t="s">
        <v>70</v>
      </c>
      <c r="L8" s="17" t="s">
        <v>81</v>
      </c>
      <c r="M8" s="20">
        <v>2000.0</v>
      </c>
      <c r="N8" s="20">
        <v>2.0</v>
      </c>
      <c r="O8" s="20">
        <v>1.0</v>
      </c>
      <c r="P8" s="17" t="s">
        <v>214</v>
      </c>
      <c r="Q8" s="17" t="s">
        <v>211</v>
      </c>
      <c r="R8" s="20">
        <v>12.0</v>
      </c>
      <c r="S8" s="20">
        <v>5.0</v>
      </c>
      <c r="T8" s="20">
        <v>280.0</v>
      </c>
      <c r="U8" s="20">
        <v>0.0</v>
      </c>
      <c r="V8" s="20">
        <v>0.88</v>
      </c>
      <c r="W8" s="17" t="s">
        <v>220</v>
      </c>
      <c r="X8" s="17" t="s">
        <v>223</v>
      </c>
      <c r="Y8" s="18"/>
      <c r="Z8" s="18"/>
      <c r="AA8" s="18"/>
      <c r="AB8" s="17" t="s">
        <v>102</v>
      </c>
      <c r="AC8" s="20">
        <v>565511.0</v>
      </c>
      <c r="AD8" s="17" t="s">
        <v>104</v>
      </c>
      <c r="AE8" s="18"/>
      <c r="AF8" s="18"/>
      <c r="AG8" s="18"/>
      <c r="AH8" s="17" t="s">
        <v>109</v>
      </c>
      <c r="AI8" s="18"/>
      <c r="AJ8" s="18"/>
      <c r="AK8" s="17" t="s">
        <v>109</v>
      </c>
      <c r="AL8" s="20">
        <v>0.0</v>
      </c>
      <c r="AM8" s="20">
        <v>280.0</v>
      </c>
    </row>
    <row r="9">
      <c r="B9" s="24">
        <v>6.0</v>
      </c>
      <c r="C9" s="25">
        <v>46158.0</v>
      </c>
      <c r="D9" s="26" t="s">
        <v>66</v>
      </c>
      <c r="E9" s="26" t="s">
        <v>70</v>
      </c>
      <c r="F9" s="26" t="s">
        <v>72</v>
      </c>
      <c r="G9" s="26" t="s">
        <v>246</v>
      </c>
      <c r="H9" s="26">
        <v>1.831318804E9</v>
      </c>
      <c r="I9" s="27"/>
      <c r="J9" s="26" t="s">
        <v>209</v>
      </c>
      <c r="K9" s="26" t="s">
        <v>70</v>
      </c>
      <c r="L9" s="26" t="s">
        <v>81</v>
      </c>
      <c r="M9" s="29">
        <v>3000.0</v>
      </c>
      <c r="N9" s="29">
        <v>3.0</v>
      </c>
      <c r="O9" s="29">
        <v>2.0</v>
      </c>
      <c r="P9" s="26" t="s">
        <v>251</v>
      </c>
      <c r="Q9" s="26" t="s">
        <v>90</v>
      </c>
      <c r="R9" s="29">
        <v>144.0</v>
      </c>
      <c r="S9" s="29">
        <v>12.0</v>
      </c>
      <c r="T9" s="29">
        <v>430.0</v>
      </c>
      <c r="U9" s="29">
        <v>0.0</v>
      </c>
      <c r="V9" s="29">
        <v>0.74</v>
      </c>
      <c r="W9" s="26" t="s">
        <v>188</v>
      </c>
      <c r="X9" s="26" t="s">
        <v>191</v>
      </c>
      <c r="Y9" s="27"/>
      <c r="Z9" s="27"/>
      <c r="AA9" s="27"/>
      <c r="AB9" s="26" t="s">
        <v>102</v>
      </c>
      <c r="AC9" s="29">
        <v>565511.0</v>
      </c>
      <c r="AD9" s="26" t="s">
        <v>104</v>
      </c>
      <c r="AE9" s="27"/>
      <c r="AF9" s="27"/>
      <c r="AG9" s="27"/>
      <c r="AH9" s="26" t="s">
        <v>109</v>
      </c>
      <c r="AI9" s="27"/>
      <c r="AJ9" s="27"/>
      <c r="AK9" s="26" t="s">
        <v>109</v>
      </c>
      <c r="AL9" s="29">
        <v>0.0</v>
      </c>
      <c r="AM9" s="29">
        <v>430.0</v>
      </c>
    </row>
    <row r="10">
      <c r="B10" s="15">
        <v>7.0</v>
      </c>
      <c r="C10" s="16">
        <v>46158.0</v>
      </c>
      <c r="D10" s="17" t="s">
        <v>66</v>
      </c>
      <c r="E10" s="17" t="s">
        <v>70</v>
      </c>
      <c r="F10" s="17" t="s">
        <v>72</v>
      </c>
      <c r="G10" s="17" t="s">
        <v>204</v>
      </c>
      <c r="H10" s="17" t="s">
        <v>206</v>
      </c>
      <c r="I10" s="18"/>
      <c r="J10" s="17" t="s">
        <v>209</v>
      </c>
      <c r="K10" s="17" t="s">
        <v>70</v>
      </c>
      <c r="L10" s="17" t="s">
        <v>81</v>
      </c>
      <c r="M10" s="20">
        <v>2000.0</v>
      </c>
      <c r="N10" s="20">
        <v>2.0</v>
      </c>
      <c r="O10" s="20">
        <v>1.0</v>
      </c>
      <c r="P10" s="17" t="s">
        <v>214</v>
      </c>
      <c r="Q10" s="17" t="s">
        <v>211</v>
      </c>
      <c r="R10" s="20">
        <v>16.0</v>
      </c>
      <c r="S10" s="20">
        <v>16.0</v>
      </c>
      <c r="T10" s="20">
        <v>562.0</v>
      </c>
      <c r="U10" s="20">
        <v>0.0</v>
      </c>
      <c r="V10" s="20">
        <v>0.72</v>
      </c>
      <c r="W10" s="17" t="s">
        <v>188</v>
      </c>
      <c r="X10" s="17" t="s">
        <v>223</v>
      </c>
      <c r="Y10" s="18"/>
      <c r="Z10" s="18"/>
      <c r="AA10" s="18"/>
      <c r="AB10" s="17" t="s">
        <v>102</v>
      </c>
      <c r="AC10" s="20">
        <v>565511.0</v>
      </c>
      <c r="AD10" s="17" t="s">
        <v>104</v>
      </c>
      <c r="AE10" s="18"/>
      <c r="AF10" s="18"/>
      <c r="AG10" s="18"/>
      <c r="AH10" s="17" t="s">
        <v>109</v>
      </c>
      <c r="AI10" s="18"/>
      <c r="AJ10" s="18"/>
      <c r="AK10" s="17" t="s">
        <v>109</v>
      </c>
      <c r="AL10" s="20">
        <v>0.0</v>
      </c>
      <c r="AM10" s="20">
        <v>562.0</v>
      </c>
    </row>
    <row r="11">
      <c r="B11" s="55" t="s">
        <v>312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>
        <v>14000.0</v>
      </c>
      <c r="N11" s="57">
        <v>19.0</v>
      </c>
      <c r="O11" s="57">
        <v>2806.0</v>
      </c>
      <c r="P11" s="56"/>
      <c r="Q11" s="56"/>
      <c r="R11" s="57">
        <v>369.0</v>
      </c>
      <c r="S11" s="57">
        <v>169.0</v>
      </c>
      <c r="T11" s="57">
        <v>10316.0</v>
      </c>
      <c r="U11" s="57">
        <v>0.0</v>
      </c>
      <c r="V11" s="57">
        <v>5.52</v>
      </c>
      <c r="W11" s="56"/>
      <c r="X11" s="56"/>
      <c r="Y11" s="56"/>
      <c r="Z11" s="56"/>
      <c r="AA11" s="56"/>
      <c r="AB11" s="56"/>
      <c r="AC11" s="59"/>
      <c r="AD11" s="56"/>
      <c r="AE11" s="56"/>
      <c r="AF11" s="56"/>
      <c r="AG11" s="56"/>
      <c r="AH11" s="56"/>
      <c r="AI11" s="56"/>
      <c r="AJ11" s="56"/>
      <c r="AK11" s="56"/>
      <c r="AL11" s="57">
        <v>0.0</v>
      </c>
      <c r="AM11" s="57">
        <v>10316.0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88"/>
    <col customWidth="1" min="3" max="3" width="6.13"/>
    <col customWidth="1" min="4" max="4" width="25.25"/>
    <col customWidth="1" min="5" max="5" width="6.38"/>
    <col customWidth="1" min="6" max="6" width="36.5"/>
    <col customWidth="1" min="7" max="7" width="45.63"/>
  </cols>
  <sheetData>
    <row r="4" ht="25.5" customHeight="1">
      <c r="A4" s="3" t="s">
        <v>1</v>
      </c>
      <c r="B4" s="4"/>
      <c r="C4" s="7" t="s">
        <v>4</v>
      </c>
      <c r="D4" s="4"/>
      <c r="E4" s="7" t="s">
        <v>18</v>
      </c>
      <c r="F4" s="4"/>
      <c r="G4" s="9" t="s">
        <v>21</v>
      </c>
    </row>
    <row r="5">
      <c r="A5" s="10">
        <v>1.0</v>
      </c>
      <c r="B5" s="11" t="s">
        <v>26</v>
      </c>
      <c r="C5" s="10">
        <v>1.0</v>
      </c>
      <c r="D5" s="9" t="s">
        <v>26</v>
      </c>
      <c r="E5" s="10">
        <v>1.0</v>
      </c>
      <c r="F5" s="9" t="s">
        <v>26</v>
      </c>
      <c r="G5" s="9" t="s">
        <v>32</v>
      </c>
      <c r="H5" s="5" t="s">
        <v>33</v>
      </c>
    </row>
    <row r="6">
      <c r="A6" s="10">
        <v>2.0</v>
      </c>
      <c r="B6" s="11" t="s">
        <v>36</v>
      </c>
      <c r="C6" s="10">
        <v>2.0</v>
      </c>
      <c r="D6" s="9" t="s">
        <v>36</v>
      </c>
      <c r="E6" s="10">
        <v>2.0</v>
      </c>
      <c r="F6" s="9" t="s">
        <v>36</v>
      </c>
      <c r="G6" s="9" t="s">
        <v>36</v>
      </c>
      <c r="H6" s="5" t="s">
        <v>43</v>
      </c>
    </row>
    <row r="7">
      <c r="A7" s="10">
        <v>3.0</v>
      </c>
      <c r="B7" s="11" t="s">
        <v>47</v>
      </c>
      <c r="C7" s="10">
        <v>3.0</v>
      </c>
      <c r="D7" s="9" t="s">
        <v>47</v>
      </c>
      <c r="E7" s="10">
        <v>3.0</v>
      </c>
      <c r="F7" s="9" t="s">
        <v>47</v>
      </c>
      <c r="G7" s="9" t="s">
        <v>47</v>
      </c>
      <c r="H7" s="5" t="s">
        <v>43</v>
      </c>
    </row>
    <row r="8">
      <c r="A8" s="10">
        <v>4.0</v>
      </c>
      <c r="B8" s="11" t="s">
        <v>54</v>
      </c>
      <c r="C8" s="10">
        <v>4.0</v>
      </c>
      <c r="D8" s="9" t="s">
        <v>54</v>
      </c>
      <c r="E8" s="10">
        <v>4.0</v>
      </c>
      <c r="F8" s="9" t="s">
        <v>54</v>
      </c>
      <c r="G8" s="9" t="s">
        <v>54</v>
      </c>
      <c r="H8" s="5" t="s">
        <v>43</v>
      </c>
    </row>
    <row r="9">
      <c r="A9" s="10">
        <v>5.0</v>
      </c>
      <c r="B9" s="11" t="s">
        <v>61</v>
      </c>
      <c r="C9" s="10">
        <v>5.0</v>
      </c>
      <c r="D9" s="9" t="s">
        <v>61</v>
      </c>
      <c r="E9" s="10">
        <v>5.0</v>
      </c>
      <c r="F9" s="9" t="s">
        <v>61</v>
      </c>
      <c r="G9" s="9" t="s">
        <v>61</v>
      </c>
      <c r="H9" s="5" t="s">
        <v>43</v>
      </c>
    </row>
    <row r="10">
      <c r="A10" s="10">
        <v>6.0</v>
      </c>
      <c r="B10" s="11" t="s">
        <v>65</v>
      </c>
      <c r="C10" s="10">
        <v>6.0</v>
      </c>
      <c r="D10" s="9" t="s">
        <v>65</v>
      </c>
      <c r="E10" s="10">
        <v>6.0</v>
      </c>
      <c r="F10" s="9" t="s">
        <v>65</v>
      </c>
      <c r="G10" s="9" t="s">
        <v>65</v>
      </c>
      <c r="H10" s="5" t="s">
        <v>43</v>
      </c>
    </row>
    <row r="11">
      <c r="A11" s="10">
        <v>7.0</v>
      </c>
      <c r="B11" s="11" t="s">
        <v>68</v>
      </c>
      <c r="C11" s="10">
        <v>7.0</v>
      </c>
      <c r="D11" s="9" t="s">
        <v>68</v>
      </c>
      <c r="E11" s="10">
        <v>7.0</v>
      </c>
      <c r="F11" s="9" t="s">
        <v>68</v>
      </c>
      <c r="G11" s="9" t="s">
        <v>75</v>
      </c>
      <c r="H11" s="5" t="s">
        <v>77</v>
      </c>
    </row>
    <row r="12">
      <c r="A12" s="10">
        <v>8.0</v>
      </c>
      <c r="B12" s="11" t="s">
        <v>80</v>
      </c>
      <c r="C12" s="10">
        <v>8.0</v>
      </c>
      <c r="D12" s="9" t="s">
        <v>80</v>
      </c>
      <c r="E12" s="10">
        <v>8.0</v>
      </c>
      <c r="F12" s="9" t="s">
        <v>80</v>
      </c>
      <c r="G12" s="9" t="s">
        <v>80</v>
      </c>
      <c r="H12" s="5" t="s">
        <v>84</v>
      </c>
    </row>
    <row r="13">
      <c r="A13" s="10">
        <v>9.0</v>
      </c>
      <c r="B13" s="11" t="s">
        <v>86</v>
      </c>
      <c r="C13" s="10">
        <v>9.0</v>
      </c>
      <c r="D13" s="9" t="s">
        <v>86</v>
      </c>
      <c r="E13" s="10">
        <v>9.0</v>
      </c>
      <c r="F13" s="9" t="s">
        <v>86</v>
      </c>
      <c r="G13" s="9" t="s">
        <v>86</v>
      </c>
      <c r="H13" s="5" t="s">
        <v>84</v>
      </c>
    </row>
    <row r="14">
      <c r="A14" s="10">
        <v>10.0</v>
      </c>
      <c r="B14" s="9" t="s">
        <v>95</v>
      </c>
      <c r="C14" s="10">
        <v>10.0</v>
      </c>
      <c r="D14" s="9" t="s">
        <v>98</v>
      </c>
      <c r="E14" s="10">
        <v>10.0</v>
      </c>
      <c r="F14" s="9" t="s">
        <v>98</v>
      </c>
      <c r="G14" s="9" t="s">
        <v>100</v>
      </c>
      <c r="H14" s="5" t="s">
        <v>43</v>
      </c>
    </row>
    <row r="15">
      <c r="A15" s="10">
        <v>11.0</v>
      </c>
      <c r="B15" s="9" t="s">
        <v>79</v>
      </c>
      <c r="C15" s="10">
        <v>11.0</v>
      </c>
      <c r="D15" s="9" t="s">
        <v>79</v>
      </c>
      <c r="E15" s="10">
        <v>11.0</v>
      </c>
      <c r="F15" s="9" t="s">
        <v>110</v>
      </c>
      <c r="G15" s="9" t="s">
        <v>112</v>
      </c>
      <c r="H15" s="5" t="s">
        <v>114</v>
      </c>
    </row>
    <row r="16">
      <c r="A16" s="10">
        <v>12.0</v>
      </c>
      <c r="B16" s="9" t="s">
        <v>117</v>
      </c>
      <c r="C16" s="10">
        <v>12.0</v>
      </c>
      <c r="D16" s="9" t="s">
        <v>117</v>
      </c>
      <c r="E16" s="10">
        <v>12.0</v>
      </c>
      <c r="F16" s="9" t="s">
        <v>121</v>
      </c>
      <c r="G16" s="9" t="s">
        <v>122</v>
      </c>
      <c r="H16" s="5" t="s">
        <v>43</v>
      </c>
    </row>
    <row r="17">
      <c r="A17" s="10">
        <v>13.0</v>
      </c>
      <c r="B17" s="9" t="s">
        <v>31</v>
      </c>
      <c r="C17" s="10">
        <v>13.0</v>
      </c>
      <c r="D17" s="9" t="s">
        <v>31</v>
      </c>
      <c r="E17" s="10">
        <v>13.0</v>
      </c>
      <c r="F17" s="9" t="s">
        <v>124</v>
      </c>
      <c r="G17" s="9" t="s">
        <v>126</v>
      </c>
      <c r="H17" s="5" t="s">
        <v>114</v>
      </c>
    </row>
    <row r="18">
      <c r="A18" s="10">
        <v>14.0</v>
      </c>
      <c r="B18" s="9" t="s">
        <v>35</v>
      </c>
      <c r="C18" s="10">
        <v>14.0</v>
      </c>
      <c r="D18" s="9" t="s">
        <v>83</v>
      </c>
      <c r="E18" s="10">
        <v>14.0</v>
      </c>
      <c r="F18" s="9" t="s">
        <v>129</v>
      </c>
      <c r="G18" s="9" t="s">
        <v>130</v>
      </c>
      <c r="H18" s="5" t="s">
        <v>43</v>
      </c>
    </row>
    <row r="19">
      <c r="A19" s="10">
        <v>15.0</v>
      </c>
      <c r="B19" s="9" t="s">
        <v>131</v>
      </c>
      <c r="C19" s="10">
        <v>15.0</v>
      </c>
      <c r="D19" s="5" t="s">
        <v>135</v>
      </c>
      <c r="E19" s="10">
        <v>15.0</v>
      </c>
      <c r="F19" s="9" t="s">
        <v>136</v>
      </c>
      <c r="G19" s="9" t="s">
        <v>138</v>
      </c>
      <c r="H19" s="5" t="s">
        <v>43</v>
      </c>
    </row>
    <row r="20">
      <c r="A20" s="10">
        <v>16.0</v>
      </c>
      <c r="B20" s="9" t="s">
        <v>139</v>
      </c>
      <c r="C20" s="10">
        <v>16.0</v>
      </c>
      <c r="D20" s="9" t="s">
        <v>131</v>
      </c>
      <c r="E20" s="10">
        <v>16.0</v>
      </c>
      <c r="F20" s="9" t="s">
        <v>140</v>
      </c>
      <c r="G20" s="9" t="s">
        <v>141</v>
      </c>
      <c r="H20" s="5" t="s">
        <v>142</v>
      </c>
    </row>
    <row r="21">
      <c r="A21" s="10">
        <v>17.0</v>
      </c>
      <c r="B21" s="9" t="s">
        <v>143</v>
      </c>
      <c r="C21" s="10">
        <v>17.0</v>
      </c>
      <c r="D21" s="9" t="s">
        <v>144</v>
      </c>
      <c r="E21" s="10">
        <v>17.0</v>
      </c>
      <c r="F21" s="9" t="s">
        <v>145</v>
      </c>
      <c r="G21" s="9" t="s">
        <v>147</v>
      </c>
    </row>
    <row r="22">
      <c r="A22" s="10">
        <v>18.0</v>
      </c>
      <c r="B22" s="9" t="s">
        <v>149</v>
      </c>
      <c r="C22" s="10">
        <v>18.0</v>
      </c>
      <c r="D22" s="9" t="s">
        <v>143</v>
      </c>
      <c r="E22" s="10">
        <v>18.0</v>
      </c>
      <c r="F22" s="9" t="s">
        <v>151</v>
      </c>
    </row>
    <row r="23">
      <c r="A23" s="10">
        <v>19.0</v>
      </c>
      <c r="B23" s="9" t="s">
        <v>152</v>
      </c>
      <c r="C23" s="10">
        <v>19.0</v>
      </c>
      <c r="D23" s="9" t="s">
        <v>149</v>
      </c>
      <c r="E23" s="10">
        <v>19.0</v>
      </c>
      <c r="F23" s="9" t="s">
        <v>154</v>
      </c>
    </row>
    <row r="24">
      <c r="A24" s="10">
        <v>20.0</v>
      </c>
      <c r="B24" s="9" t="s">
        <v>155</v>
      </c>
      <c r="C24" s="10">
        <v>20.0</v>
      </c>
      <c r="D24" s="9" t="s">
        <v>156</v>
      </c>
      <c r="E24" s="10">
        <v>20.0</v>
      </c>
      <c r="F24" s="9" t="s">
        <v>157</v>
      </c>
    </row>
    <row r="25">
      <c r="A25" s="10">
        <v>21.0</v>
      </c>
      <c r="B25" s="9" t="s">
        <v>44</v>
      </c>
      <c r="C25" s="10">
        <v>21.0</v>
      </c>
      <c r="D25" s="9" t="s">
        <v>159</v>
      </c>
      <c r="E25" s="10">
        <v>21.0</v>
      </c>
      <c r="F25" s="9" t="s">
        <v>160</v>
      </c>
    </row>
    <row r="26">
      <c r="A26" s="10">
        <v>22.0</v>
      </c>
      <c r="B26" s="9" t="s">
        <v>161</v>
      </c>
      <c r="C26" s="10">
        <v>22.0</v>
      </c>
      <c r="D26" s="9" t="s">
        <v>162</v>
      </c>
      <c r="E26" s="10">
        <v>22.0</v>
      </c>
      <c r="F26" s="9" t="s">
        <v>163</v>
      </c>
    </row>
    <row r="27">
      <c r="A27" s="10">
        <v>23.0</v>
      </c>
      <c r="B27" s="9" t="s">
        <v>165</v>
      </c>
      <c r="C27" s="10">
        <v>23.0</v>
      </c>
      <c r="D27" s="9" t="s">
        <v>166</v>
      </c>
      <c r="E27" s="10">
        <v>23.0</v>
      </c>
      <c r="F27" s="9" t="s">
        <v>44</v>
      </c>
    </row>
    <row r="28">
      <c r="A28" s="10">
        <v>24.0</v>
      </c>
      <c r="B28" s="9" t="s">
        <v>167</v>
      </c>
      <c r="C28" s="10">
        <v>24.0</v>
      </c>
      <c r="D28" s="9" t="s">
        <v>44</v>
      </c>
      <c r="E28" s="10">
        <v>24.0</v>
      </c>
      <c r="F28" s="9" t="s">
        <v>161</v>
      </c>
    </row>
    <row r="29">
      <c r="A29" s="10">
        <v>25.0</v>
      </c>
      <c r="B29" s="9" t="s">
        <v>170</v>
      </c>
      <c r="C29" s="10">
        <v>25.0</v>
      </c>
      <c r="D29" s="9" t="s">
        <v>161</v>
      </c>
      <c r="E29" s="10">
        <v>25.0</v>
      </c>
      <c r="F29" s="9" t="s">
        <v>165</v>
      </c>
    </row>
    <row r="30">
      <c r="A30" s="10">
        <v>26.0</v>
      </c>
      <c r="B30" s="9" t="s">
        <v>172</v>
      </c>
      <c r="C30" s="10">
        <v>26.0</v>
      </c>
      <c r="D30" s="9" t="s">
        <v>165</v>
      </c>
      <c r="E30" s="10">
        <v>26.0</v>
      </c>
      <c r="F30" s="9" t="s">
        <v>167</v>
      </c>
    </row>
    <row r="31">
      <c r="A31" s="10">
        <v>27.0</v>
      </c>
      <c r="B31" s="9" t="s">
        <v>178</v>
      </c>
      <c r="C31" s="10">
        <v>27.0</v>
      </c>
      <c r="D31" s="9" t="s">
        <v>167</v>
      </c>
      <c r="E31" s="10">
        <v>27.0</v>
      </c>
      <c r="F31" s="9" t="s">
        <v>115</v>
      </c>
    </row>
    <row r="32">
      <c r="A32" s="10">
        <v>28.0</v>
      </c>
      <c r="B32" s="9" t="s">
        <v>181</v>
      </c>
      <c r="C32" s="10">
        <v>28.0</v>
      </c>
      <c r="D32" s="9" t="s">
        <v>183</v>
      </c>
      <c r="E32" s="10">
        <v>28.0</v>
      </c>
      <c r="F32" s="9" t="s">
        <v>184</v>
      </c>
    </row>
    <row r="33">
      <c r="A33" s="10">
        <v>29.0</v>
      </c>
      <c r="B33" s="9" t="s">
        <v>186</v>
      </c>
      <c r="C33" s="10">
        <v>29.0</v>
      </c>
      <c r="D33" s="9" t="s">
        <v>180</v>
      </c>
      <c r="E33" s="10">
        <v>29.0</v>
      </c>
      <c r="F33" s="9" t="s">
        <v>189</v>
      </c>
    </row>
    <row r="34">
      <c r="A34" s="10">
        <v>30.0</v>
      </c>
      <c r="B34" s="9" t="s">
        <v>192</v>
      </c>
      <c r="C34" s="10">
        <v>30.0</v>
      </c>
      <c r="D34" s="9" t="s">
        <v>111</v>
      </c>
      <c r="E34" s="10">
        <v>30.0</v>
      </c>
      <c r="F34" s="9" t="s">
        <v>197</v>
      </c>
    </row>
    <row r="35">
      <c r="A35" s="10">
        <v>31.0</v>
      </c>
      <c r="B35" s="9" t="s">
        <v>111</v>
      </c>
      <c r="C35" s="10">
        <v>31.0</v>
      </c>
      <c r="D35" s="9" t="s">
        <v>115</v>
      </c>
      <c r="E35" s="10">
        <v>31.0</v>
      </c>
      <c r="F35" s="9" t="s">
        <v>201</v>
      </c>
    </row>
    <row r="36">
      <c r="A36" s="10">
        <v>32.0</v>
      </c>
      <c r="B36" s="9" t="s">
        <v>115</v>
      </c>
      <c r="C36" s="10">
        <v>32.0</v>
      </c>
      <c r="D36" s="9" t="s">
        <v>116</v>
      </c>
      <c r="E36" s="10">
        <v>32.0</v>
      </c>
      <c r="F36" s="9" t="s">
        <v>208</v>
      </c>
    </row>
    <row r="37">
      <c r="A37" s="10">
        <v>33.0</v>
      </c>
      <c r="B37" s="9" t="s">
        <v>116</v>
      </c>
      <c r="C37" s="10">
        <v>33.0</v>
      </c>
      <c r="D37" s="9" t="s">
        <v>118</v>
      </c>
      <c r="E37" s="10">
        <v>33.0</v>
      </c>
      <c r="F37" s="9" t="s">
        <v>49</v>
      </c>
    </row>
    <row r="38">
      <c r="A38" s="10">
        <v>34.0</v>
      </c>
      <c r="B38" s="9" t="s">
        <v>118</v>
      </c>
      <c r="C38" s="10">
        <v>34.0</v>
      </c>
      <c r="D38" s="9" t="s">
        <v>119</v>
      </c>
      <c r="E38" s="10">
        <v>34.0</v>
      </c>
      <c r="F38" s="9" t="s">
        <v>221</v>
      </c>
    </row>
    <row r="39">
      <c r="A39" s="10">
        <v>35.0</v>
      </c>
      <c r="B39" s="9" t="s">
        <v>119</v>
      </c>
      <c r="C39" s="10">
        <v>35.0</v>
      </c>
      <c r="D39" s="9" t="s">
        <v>228</v>
      </c>
      <c r="E39" s="10">
        <v>35.0</v>
      </c>
      <c r="F39" s="9" t="s">
        <v>229</v>
      </c>
    </row>
    <row r="40">
      <c r="A40" s="10">
        <v>36.0</v>
      </c>
      <c r="B40" s="9" t="s">
        <v>228</v>
      </c>
      <c r="C40" s="10">
        <v>36.0</v>
      </c>
      <c r="D40" s="9" t="s">
        <v>236</v>
      </c>
      <c r="E40" s="10">
        <v>36.0</v>
      </c>
      <c r="F40" s="9" t="s">
        <v>240</v>
      </c>
    </row>
    <row r="41">
      <c r="A41" s="10">
        <v>37.0</v>
      </c>
      <c r="B41" s="46" t="s">
        <v>236</v>
      </c>
      <c r="C41" s="10">
        <v>37.0</v>
      </c>
      <c r="D41" s="9" t="s">
        <v>221</v>
      </c>
      <c r="E41" s="10">
        <v>37.0</v>
      </c>
      <c r="F41" s="9" t="s">
        <v>250</v>
      </c>
    </row>
    <row r="42">
      <c r="A42" s="10">
        <v>38.0</v>
      </c>
      <c r="B42" s="9" t="s">
        <v>221</v>
      </c>
      <c r="C42" s="10">
        <v>38.0</v>
      </c>
      <c r="D42" s="9" t="s">
        <v>229</v>
      </c>
      <c r="E42" s="10">
        <v>38.0</v>
      </c>
      <c r="F42" s="9" t="s">
        <v>257</v>
      </c>
    </row>
    <row r="43">
      <c r="A43" s="10">
        <v>39.0</v>
      </c>
      <c r="B43" s="9" t="s">
        <v>229</v>
      </c>
      <c r="C43" s="10">
        <v>39.0</v>
      </c>
      <c r="D43" s="9" t="s">
        <v>240</v>
      </c>
      <c r="E43" s="10">
        <v>39.0</v>
      </c>
      <c r="F43" s="9" t="s">
        <v>264</v>
      </c>
    </row>
    <row r="44">
      <c r="A44" s="10">
        <v>40.0</v>
      </c>
      <c r="B44" s="9" t="s">
        <v>240</v>
      </c>
      <c r="C44" s="10">
        <v>40.0</v>
      </c>
      <c r="D44" s="9" t="s">
        <v>269</v>
      </c>
      <c r="E44" s="10">
        <v>40.0</v>
      </c>
      <c r="F44" s="9" t="s">
        <v>273</v>
      </c>
    </row>
    <row r="45">
      <c r="A45" s="10">
        <v>41.0</v>
      </c>
      <c r="B45" s="9" t="s">
        <v>269</v>
      </c>
      <c r="C45" s="10">
        <v>41.0</v>
      </c>
      <c r="D45" s="9" t="s">
        <v>257</v>
      </c>
      <c r="E45" s="10"/>
      <c r="F45" s="50"/>
    </row>
    <row r="46">
      <c r="A46" s="10">
        <v>42.0</v>
      </c>
      <c r="B46" s="9" t="s">
        <v>257</v>
      </c>
      <c r="C46" s="10">
        <v>42.0</v>
      </c>
      <c r="D46" s="9" t="s">
        <v>264</v>
      </c>
      <c r="E46" s="10"/>
      <c r="F46" s="50"/>
    </row>
    <row r="47">
      <c r="A47" s="10">
        <v>43.0</v>
      </c>
      <c r="B47" s="9" t="s">
        <v>264</v>
      </c>
      <c r="C47" s="10">
        <v>43.0</v>
      </c>
      <c r="D47" s="9" t="s">
        <v>273</v>
      </c>
      <c r="E47" s="10"/>
      <c r="F47" s="9"/>
    </row>
    <row r="48">
      <c r="A48" s="10">
        <v>44.0</v>
      </c>
      <c r="B48" s="9" t="s">
        <v>273</v>
      </c>
      <c r="C48" s="10"/>
      <c r="D48" s="50"/>
      <c r="E48" s="50"/>
      <c r="F48" s="50"/>
    </row>
    <row r="50">
      <c r="B50" s="5" t="s">
        <v>300</v>
      </c>
    </row>
  </sheetData>
  <mergeCells count="3">
    <mergeCell ref="A4:B4"/>
    <mergeCell ref="C4:D4"/>
    <mergeCell ref="E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1" t="s">
        <v>89</v>
      </c>
      <c r="C3" s="22" t="s">
        <v>91</v>
      </c>
      <c r="D3" s="21" t="s">
        <v>96</v>
      </c>
    </row>
    <row r="4">
      <c r="B4" s="21">
        <v>1.0</v>
      </c>
      <c r="C4" s="22" t="s">
        <v>81</v>
      </c>
      <c r="D4" s="21">
        <v>42.0</v>
      </c>
    </row>
    <row r="5">
      <c r="B5" s="21">
        <v>2.0</v>
      </c>
      <c r="C5" s="22" t="s">
        <v>106</v>
      </c>
      <c r="D5" s="21">
        <v>700.0</v>
      </c>
    </row>
    <row r="6">
      <c r="B6" s="21">
        <v>4.0</v>
      </c>
      <c r="C6" s="22" t="s">
        <v>113</v>
      </c>
      <c r="D6" s="21">
        <v>70.0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0"/>
    <col customWidth="1" min="3" max="3" width="18.75"/>
    <col customWidth="1" min="4" max="4" width="18.0"/>
    <col customWidth="1" min="5" max="5" width="25.5"/>
    <col customWidth="1" min="6" max="6" width="15.38"/>
    <col customWidth="1" min="7" max="7" width="16.0"/>
    <col customWidth="1" min="8" max="8" width="38.75"/>
    <col customWidth="1" min="9" max="9" width="35.25"/>
  </cols>
  <sheetData>
    <row r="2">
      <c r="A2" s="5" t="s">
        <v>164</v>
      </c>
      <c r="C2" s="5">
        <f>200*1000</f>
        <v>200000</v>
      </c>
      <c r="D2" s="5">
        <v>1990.0</v>
      </c>
      <c r="E2" s="30">
        <f>C2/D2</f>
        <v>100.5025126</v>
      </c>
      <c r="F2" s="30">
        <f>E2/700</f>
        <v>0.1435750179</v>
      </c>
      <c r="G2" s="5" t="s">
        <v>185</v>
      </c>
    </row>
    <row r="4">
      <c r="B4" s="31" t="s">
        <v>187</v>
      </c>
    </row>
    <row r="5">
      <c r="A5" s="31" t="s">
        <v>83</v>
      </c>
      <c r="B5" s="31" t="s">
        <v>190</v>
      </c>
      <c r="C5" s="31" t="s">
        <v>44</v>
      </c>
      <c r="D5" s="31" t="s">
        <v>193</v>
      </c>
      <c r="E5" s="32" t="s">
        <v>194</v>
      </c>
      <c r="F5" s="33" t="s">
        <v>195</v>
      </c>
      <c r="H5" s="34" t="s">
        <v>196</v>
      </c>
      <c r="I5" s="31" t="s">
        <v>198</v>
      </c>
    </row>
    <row r="6">
      <c r="A6" s="35" t="s">
        <v>199</v>
      </c>
      <c r="B6" s="36" t="s">
        <v>81</v>
      </c>
      <c r="C6" s="36" t="s">
        <v>81</v>
      </c>
      <c r="D6" s="5" t="s">
        <v>200</v>
      </c>
      <c r="E6" s="37" t="s">
        <v>202</v>
      </c>
      <c r="F6" s="34" t="s">
        <v>203</v>
      </c>
      <c r="H6" s="38" t="s">
        <v>205</v>
      </c>
      <c r="I6" s="39" t="s">
        <v>207</v>
      </c>
    </row>
    <row r="7">
      <c r="A7" s="35" t="s">
        <v>210</v>
      </c>
      <c r="B7" s="40" t="s">
        <v>211</v>
      </c>
      <c r="C7" s="5" t="s">
        <v>212</v>
      </c>
      <c r="D7" s="5" t="s">
        <v>213</v>
      </c>
      <c r="E7" s="41" t="s">
        <v>215</v>
      </c>
      <c r="F7" s="42" t="s">
        <v>216</v>
      </c>
      <c r="G7" s="42" t="s">
        <v>217</v>
      </c>
      <c r="H7" s="39" t="s">
        <v>218</v>
      </c>
      <c r="I7" s="39" t="s">
        <v>219</v>
      </c>
    </row>
    <row r="8">
      <c r="A8" s="35" t="s">
        <v>222</v>
      </c>
      <c r="B8" s="40" t="s">
        <v>224</v>
      </c>
      <c r="C8" s="5" t="s">
        <v>225</v>
      </c>
      <c r="D8" s="5" t="s">
        <v>226</v>
      </c>
      <c r="E8" s="43" t="s">
        <v>227</v>
      </c>
      <c r="F8" s="44">
        <v>45294.0</v>
      </c>
      <c r="G8" s="45">
        <v>0.3</v>
      </c>
      <c r="H8" s="39" t="s">
        <v>230</v>
      </c>
      <c r="I8" s="39" t="s">
        <v>231</v>
      </c>
    </row>
    <row r="9">
      <c r="A9" s="35" t="s">
        <v>232</v>
      </c>
      <c r="B9" s="40" t="s">
        <v>90</v>
      </c>
      <c r="C9" s="5" t="s">
        <v>233</v>
      </c>
      <c r="D9" s="5" t="s">
        <v>234</v>
      </c>
      <c r="E9" s="41" t="s">
        <v>235</v>
      </c>
      <c r="F9" s="44">
        <v>45389.0</v>
      </c>
      <c r="G9" s="45">
        <v>0.45</v>
      </c>
      <c r="H9" s="39" t="s">
        <v>237</v>
      </c>
      <c r="I9" s="39" t="s">
        <v>238</v>
      </c>
    </row>
    <row r="10">
      <c r="A10" s="35" t="s">
        <v>239</v>
      </c>
      <c r="B10" s="40" t="s">
        <v>241</v>
      </c>
      <c r="C10" s="5" t="s">
        <v>242</v>
      </c>
      <c r="D10" s="5" t="s">
        <v>243</v>
      </c>
      <c r="E10" s="41"/>
      <c r="F10" s="44">
        <v>45515.0</v>
      </c>
      <c r="G10" s="45">
        <v>0.6</v>
      </c>
      <c r="H10" s="39" t="s">
        <v>244</v>
      </c>
      <c r="I10" s="39" t="s">
        <v>245</v>
      </c>
    </row>
    <row r="11">
      <c r="A11" s="35" t="s">
        <v>88</v>
      </c>
      <c r="B11" s="40" t="s">
        <v>247</v>
      </c>
      <c r="C11" s="47" t="s">
        <v>248</v>
      </c>
      <c r="D11" s="5" t="s">
        <v>249</v>
      </c>
      <c r="E11" s="48" t="s">
        <v>105</v>
      </c>
      <c r="F11" s="44">
        <v>45641.0</v>
      </c>
      <c r="G11" s="45">
        <v>0.8</v>
      </c>
      <c r="H11" s="39" t="s">
        <v>252</v>
      </c>
      <c r="I11" s="39" t="s">
        <v>253</v>
      </c>
    </row>
    <row r="12">
      <c r="A12" s="35" t="s">
        <v>254</v>
      </c>
      <c r="B12" s="36" t="s">
        <v>113</v>
      </c>
      <c r="C12" s="5" t="s">
        <v>255</v>
      </c>
      <c r="D12" s="5" t="s">
        <v>256</v>
      </c>
      <c r="E12" s="41" t="s">
        <v>215</v>
      </c>
      <c r="F12" s="42" t="s">
        <v>258</v>
      </c>
      <c r="G12" s="45">
        <v>1.0</v>
      </c>
      <c r="H12" s="39" t="s">
        <v>259</v>
      </c>
      <c r="I12" s="39" t="s">
        <v>260</v>
      </c>
    </row>
    <row r="13">
      <c r="A13" s="35" t="s">
        <v>261</v>
      </c>
      <c r="B13" s="49" t="s">
        <v>262</v>
      </c>
      <c r="C13" s="5" t="s">
        <v>263</v>
      </c>
      <c r="D13" s="5" t="s">
        <v>265</v>
      </c>
      <c r="E13" s="43" t="s">
        <v>227</v>
      </c>
      <c r="F13" s="42" t="s">
        <v>266</v>
      </c>
      <c r="G13" s="45">
        <v>1.25</v>
      </c>
      <c r="H13" s="39" t="s">
        <v>267</v>
      </c>
      <c r="I13" s="39" t="s">
        <v>268</v>
      </c>
    </row>
    <row r="14">
      <c r="A14" s="35" t="s">
        <v>270</v>
      </c>
      <c r="B14" s="49" t="s">
        <v>271</v>
      </c>
      <c r="C14" s="5" t="s">
        <v>272</v>
      </c>
      <c r="D14" s="5" t="s">
        <v>274</v>
      </c>
      <c r="E14" s="41" t="s">
        <v>235</v>
      </c>
      <c r="F14" s="42" t="s">
        <v>275</v>
      </c>
      <c r="G14" s="45">
        <v>1.5</v>
      </c>
      <c r="H14" s="39" t="s">
        <v>276</v>
      </c>
      <c r="I14" s="39" t="s">
        <v>277</v>
      </c>
    </row>
    <row r="15">
      <c r="A15" s="35" t="s">
        <v>278</v>
      </c>
      <c r="B15" s="36" t="s">
        <v>133</v>
      </c>
      <c r="C15" s="5" t="s">
        <v>279</v>
      </c>
      <c r="D15" s="5" t="s">
        <v>280</v>
      </c>
      <c r="E15" s="41"/>
      <c r="F15" s="39"/>
      <c r="G15" s="39"/>
      <c r="H15" s="39" t="s">
        <v>281</v>
      </c>
      <c r="I15" s="39" t="s">
        <v>282</v>
      </c>
    </row>
    <row r="16">
      <c r="A16" s="35" t="s">
        <v>283</v>
      </c>
      <c r="B16" s="51" t="s">
        <v>284</v>
      </c>
      <c r="C16" s="5" t="s">
        <v>285</v>
      </c>
      <c r="D16" s="5" t="s">
        <v>286</v>
      </c>
      <c r="E16" s="48" t="s">
        <v>108</v>
      </c>
      <c r="F16" s="39"/>
      <c r="G16" s="39"/>
      <c r="H16" s="39" t="s">
        <v>287</v>
      </c>
      <c r="I16" s="39" t="s">
        <v>288</v>
      </c>
    </row>
    <row r="17">
      <c r="A17" s="35" t="s">
        <v>289</v>
      </c>
      <c r="B17" s="51" t="s">
        <v>290</v>
      </c>
      <c r="C17" s="47" t="s">
        <v>106</v>
      </c>
      <c r="D17" s="5" t="s">
        <v>291</v>
      </c>
      <c r="E17" s="43" t="s">
        <v>292</v>
      </c>
      <c r="F17" s="52"/>
      <c r="G17" s="52"/>
      <c r="H17" s="39" t="s">
        <v>293</v>
      </c>
      <c r="I17" s="39" t="s">
        <v>294</v>
      </c>
    </row>
    <row r="18">
      <c r="A18" s="35" t="s">
        <v>295</v>
      </c>
      <c r="B18" s="51" t="s">
        <v>296</v>
      </c>
      <c r="C18" s="5" t="s">
        <v>297</v>
      </c>
      <c r="D18" s="5" t="s">
        <v>298</v>
      </c>
      <c r="E18" s="53" t="s">
        <v>299</v>
      </c>
      <c r="F18" s="54"/>
      <c r="G18" s="54"/>
      <c r="H18" s="38" t="s">
        <v>301</v>
      </c>
      <c r="I18" s="39" t="s">
        <v>302</v>
      </c>
    </row>
    <row r="19">
      <c r="A19" s="35" t="s">
        <v>303</v>
      </c>
      <c r="B19" s="51" t="s">
        <v>304</v>
      </c>
      <c r="C19" s="5" t="s">
        <v>305</v>
      </c>
      <c r="D19" s="5" t="s">
        <v>306</v>
      </c>
      <c r="E19" s="41" t="s">
        <v>307</v>
      </c>
      <c r="F19" s="39"/>
      <c r="G19" s="39"/>
      <c r="H19" s="39" t="s">
        <v>308</v>
      </c>
      <c r="I19" s="39" t="s">
        <v>309</v>
      </c>
    </row>
    <row r="20">
      <c r="A20" s="35" t="s">
        <v>310</v>
      </c>
      <c r="B20" s="51" t="s">
        <v>311</v>
      </c>
      <c r="C20" s="5" t="s">
        <v>313</v>
      </c>
      <c r="D20" s="5" t="s">
        <v>314</v>
      </c>
      <c r="E20" s="41" t="s">
        <v>315</v>
      </c>
      <c r="F20" s="39"/>
      <c r="G20" s="39"/>
      <c r="H20" s="39" t="s">
        <v>316</v>
      </c>
      <c r="I20" s="39" t="s">
        <v>317</v>
      </c>
    </row>
    <row r="21">
      <c r="A21" s="35" t="s">
        <v>318</v>
      </c>
      <c r="B21" s="51" t="s">
        <v>319</v>
      </c>
      <c r="C21" s="5" t="s">
        <v>320</v>
      </c>
      <c r="D21" s="5" t="s">
        <v>321</v>
      </c>
      <c r="E21" s="41" t="s">
        <v>322</v>
      </c>
      <c r="F21" s="39"/>
      <c r="G21" s="39"/>
      <c r="H21" s="39" t="s">
        <v>323</v>
      </c>
      <c r="I21" s="39" t="s">
        <v>324</v>
      </c>
    </row>
    <row r="22">
      <c r="A22" s="35" t="s">
        <v>325</v>
      </c>
      <c r="B22" s="51" t="s">
        <v>326</v>
      </c>
      <c r="C22" s="5" t="s">
        <v>327</v>
      </c>
      <c r="D22" s="5" t="s">
        <v>328</v>
      </c>
      <c r="E22" s="41" t="s">
        <v>329</v>
      </c>
      <c r="F22" s="39"/>
      <c r="G22" s="39"/>
      <c r="H22" s="39" t="s">
        <v>330</v>
      </c>
      <c r="I22" s="39" t="s">
        <v>331</v>
      </c>
    </row>
    <row r="23">
      <c r="A23" s="35" t="s">
        <v>332</v>
      </c>
      <c r="B23" s="51" t="s">
        <v>333</v>
      </c>
      <c r="C23" s="5" t="s">
        <v>334</v>
      </c>
      <c r="D23" s="5" t="s">
        <v>335</v>
      </c>
      <c r="E23" s="41"/>
      <c r="F23" s="39"/>
      <c r="G23" s="39"/>
      <c r="H23" s="39" t="s">
        <v>336</v>
      </c>
      <c r="I23" s="39" t="s">
        <v>337</v>
      </c>
    </row>
    <row r="24">
      <c r="A24" s="35" t="s">
        <v>338</v>
      </c>
      <c r="B24" s="51" t="s">
        <v>339</v>
      </c>
      <c r="C24" s="5" t="s">
        <v>340</v>
      </c>
      <c r="D24" s="5" t="s">
        <v>341</v>
      </c>
      <c r="E24" s="48" t="s">
        <v>111</v>
      </c>
      <c r="F24" s="39"/>
      <c r="G24" s="39"/>
      <c r="H24" s="39" t="s">
        <v>342</v>
      </c>
      <c r="I24" s="39" t="s">
        <v>343</v>
      </c>
    </row>
    <row r="25">
      <c r="A25" s="35" t="s">
        <v>344</v>
      </c>
      <c r="B25" s="51" t="s">
        <v>345</v>
      </c>
      <c r="C25" s="5" t="s">
        <v>346</v>
      </c>
      <c r="D25" s="5" t="s">
        <v>347</v>
      </c>
      <c r="E25" s="41" t="s">
        <v>348</v>
      </c>
      <c r="F25" s="39"/>
      <c r="G25" s="39"/>
      <c r="H25" s="39" t="s">
        <v>349</v>
      </c>
      <c r="I25" s="39" t="s">
        <v>350</v>
      </c>
    </row>
    <row r="26">
      <c r="A26" s="35" t="s">
        <v>351</v>
      </c>
      <c r="B26" s="51" t="s">
        <v>352</v>
      </c>
      <c r="D26" s="5" t="s">
        <v>310</v>
      </c>
      <c r="E26" s="58" t="s">
        <v>353</v>
      </c>
      <c r="F26" s="5"/>
      <c r="G26" s="5"/>
      <c r="H26" s="5" t="s">
        <v>354</v>
      </c>
      <c r="I26" s="39" t="s">
        <v>330</v>
      </c>
    </row>
    <row r="27">
      <c r="A27" s="35" t="s">
        <v>355</v>
      </c>
      <c r="B27" s="51" t="s">
        <v>356</v>
      </c>
      <c r="C27" s="31" t="s">
        <v>357</v>
      </c>
      <c r="D27" s="5" t="s">
        <v>358</v>
      </c>
      <c r="E27" s="60" t="s">
        <v>359</v>
      </c>
      <c r="F27" s="5"/>
      <c r="G27" s="5"/>
      <c r="H27" s="5" t="s">
        <v>360</v>
      </c>
      <c r="I27" s="39" t="s">
        <v>361</v>
      </c>
    </row>
    <row r="28">
      <c r="A28" s="35" t="s">
        <v>362</v>
      </c>
      <c r="B28" s="51" t="s">
        <v>363</v>
      </c>
      <c r="C28" s="5" t="s">
        <v>364</v>
      </c>
      <c r="D28" s="5" t="s">
        <v>365</v>
      </c>
      <c r="E28" s="41" t="s">
        <v>366</v>
      </c>
      <c r="F28" s="39"/>
      <c r="G28" s="39"/>
      <c r="H28" s="39" t="s">
        <v>367</v>
      </c>
      <c r="I28" s="39" t="s">
        <v>368</v>
      </c>
    </row>
    <row r="29">
      <c r="A29" s="35" t="s">
        <v>369</v>
      </c>
      <c r="B29" s="51" t="s">
        <v>370</v>
      </c>
      <c r="C29" s="5" t="s">
        <v>371</v>
      </c>
      <c r="D29" s="5" t="s">
        <v>372</v>
      </c>
      <c r="E29" s="41" t="s">
        <v>373</v>
      </c>
      <c r="F29" s="39"/>
      <c r="G29" s="39"/>
      <c r="H29" s="39" t="s">
        <v>374</v>
      </c>
      <c r="I29" s="39" t="s">
        <v>375</v>
      </c>
    </row>
    <row r="30">
      <c r="A30" s="35" t="s">
        <v>376</v>
      </c>
      <c r="B30" s="36" t="s">
        <v>377</v>
      </c>
      <c r="C30" s="5" t="s">
        <v>378</v>
      </c>
      <c r="D30" s="5" t="s">
        <v>379</v>
      </c>
      <c r="E30" s="41"/>
      <c r="F30" s="39"/>
      <c r="G30" s="39"/>
      <c r="H30" s="39" t="s">
        <v>380</v>
      </c>
      <c r="I30" s="39" t="s">
        <v>381</v>
      </c>
    </row>
    <row r="31">
      <c r="A31" s="35" t="s">
        <v>382</v>
      </c>
      <c r="B31" s="40" t="s">
        <v>377</v>
      </c>
      <c r="C31" s="5" t="s">
        <v>383</v>
      </c>
      <c r="D31" s="5" t="s">
        <v>384</v>
      </c>
      <c r="E31" s="48" t="s">
        <v>120</v>
      </c>
      <c r="F31" s="52"/>
      <c r="G31" s="52"/>
      <c r="H31" s="39" t="s">
        <v>385</v>
      </c>
      <c r="I31" s="39" t="s">
        <v>386</v>
      </c>
    </row>
    <row r="32">
      <c r="A32" s="35" t="s">
        <v>387</v>
      </c>
      <c r="B32" s="31" t="s">
        <v>388</v>
      </c>
      <c r="C32" s="5" t="s">
        <v>389</v>
      </c>
      <c r="D32" s="5" t="s">
        <v>390</v>
      </c>
      <c r="E32" s="41" t="s">
        <v>391</v>
      </c>
      <c r="F32" s="52"/>
      <c r="G32" s="52"/>
      <c r="H32" s="39" t="s">
        <v>392</v>
      </c>
      <c r="I32" s="39" t="s">
        <v>393</v>
      </c>
    </row>
    <row r="33">
      <c r="A33" s="35" t="s">
        <v>394</v>
      </c>
      <c r="B33" s="61" t="s">
        <v>395</v>
      </c>
      <c r="C33" s="5" t="s">
        <v>396</v>
      </c>
      <c r="D33" s="5" t="s">
        <v>397</v>
      </c>
      <c r="E33" s="62" t="s">
        <v>398</v>
      </c>
      <c r="F33" s="54"/>
      <c r="G33" s="54"/>
      <c r="H33" s="38" t="s">
        <v>399</v>
      </c>
      <c r="I33" s="39" t="s">
        <v>400</v>
      </c>
    </row>
    <row r="34">
      <c r="A34" s="35" t="s">
        <v>214</v>
      </c>
      <c r="B34" s="61" t="s">
        <v>401</v>
      </c>
      <c r="C34" s="5" t="s">
        <v>402</v>
      </c>
      <c r="D34" s="5" t="s">
        <v>403</v>
      </c>
      <c r="E34" s="41" t="s">
        <v>404</v>
      </c>
      <c r="F34" s="39"/>
      <c r="G34" s="39"/>
      <c r="H34" s="39" t="s">
        <v>405</v>
      </c>
      <c r="I34" s="39" t="s">
        <v>406</v>
      </c>
    </row>
    <row r="35">
      <c r="A35" s="35" t="s">
        <v>407</v>
      </c>
      <c r="B35" s="61" t="s">
        <v>408</v>
      </c>
      <c r="D35" s="5" t="s">
        <v>382</v>
      </c>
      <c r="E35" s="41"/>
      <c r="F35" s="39"/>
      <c r="G35" s="39"/>
      <c r="H35" s="39" t="s">
        <v>409</v>
      </c>
      <c r="I35" s="39" t="s">
        <v>410</v>
      </c>
    </row>
    <row r="36">
      <c r="A36" s="35" t="s">
        <v>411</v>
      </c>
      <c r="B36" s="31" t="s">
        <v>18</v>
      </c>
      <c r="D36" s="5" t="s">
        <v>412</v>
      </c>
      <c r="E36" s="63" t="s">
        <v>116</v>
      </c>
      <c r="F36" s="39"/>
      <c r="G36" s="39"/>
      <c r="H36" s="39" t="s">
        <v>413</v>
      </c>
      <c r="I36" s="39" t="s">
        <v>414</v>
      </c>
    </row>
    <row r="37">
      <c r="A37" s="35" t="s">
        <v>415</v>
      </c>
      <c r="B37" s="64" t="s">
        <v>416</v>
      </c>
      <c r="D37" s="5" t="s">
        <v>417</v>
      </c>
      <c r="E37" s="58" t="s">
        <v>418</v>
      </c>
      <c r="F37" s="5"/>
      <c r="G37" s="5"/>
      <c r="H37" s="5" t="s">
        <v>419</v>
      </c>
      <c r="I37" s="39" t="s">
        <v>420</v>
      </c>
    </row>
    <row r="38">
      <c r="A38" s="35" t="s">
        <v>421</v>
      </c>
      <c r="B38" s="64" t="s">
        <v>422</v>
      </c>
      <c r="D38" s="5" t="s">
        <v>423</v>
      </c>
      <c r="E38" s="60" t="s">
        <v>424</v>
      </c>
      <c r="F38" s="39"/>
      <c r="G38" s="39"/>
      <c r="H38" s="39" t="s">
        <v>425</v>
      </c>
      <c r="I38" s="39" t="s">
        <v>426</v>
      </c>
    </row>
    <row r="39">
      <c r="A39" s="35" t="s">
        <v>427</v>
      </c>
      <c r="B39" s="64" t="s">
        <v>428</v>
      </c>
      <c r="D39" s="5" t="s">
        <v>429</v>
      </c>
      <c r="E39" s="41" t="s">
        <v>430</v>
      </c>
      <c r="F39" s="52"/>
      <c r="G39" s="39">
        <v>0.0</v>
      </c>
      <c r="H39" s="39" t="s">
        <v>431</v>
      </c>
      <c r="I39" s="39" t="s">
        <v>432</v>
      </c>
    </row>
    <row r="40">
      <c r="A40" s="35" t="s">
        <v>433</v>
      </c>
      <c r="B40" s="64" t="s">
        <v>434</v>
      </c>
      <c r="D40" s="5" t="s">
        <v>435</v>
      </c>
      <c r="E40" s="65"/>
      <c r="F40" s="54"/>
      <c r="G40" s="54"/>
      <c r="H40" s="38" t="s">
        <v>436</v>
      </c>
      <c r="I40" s="39" t="s">
        <v>437</v>
      </c>
    </row>
    <row r="41">
      <c r="A41" s="35" t="s">
        <v>438</v>
      </c>
      <c r="B41" s="64" t="s">
        <v>439</v>
      </c>
      <c r="D41" s="5" t="s">
        <v>440</v>
      </c>
      <c r="E41" s="48" t="s">
        <v>441</v>
      </c>
      <c r="F41" s="39"/>
      <c r="G41" s="39"/>
      <c r="H41" s="39" t="s">
        <v>442</v>
      </c>
      <c r="I41" s="39" t="s">
        <v>443</v>
      </c>
    </row>
    <row r="42">
      <c r="A42" s="35" t="s">
        <v>132</v>
      </c>
      <c r="B42" s="31" t="s">
        <v>444</v>
      </c>
      <c r="D42" s="5" t="s">
        <v>445</v>
      </c>
      <c r="E42" s="60" t="s">
        <v>446</v>
      </c>
      <c r="F42" s="39"/>
      <c r="G42" s="39"/>
      <c r="H42" s="39" t="s">
        <v>447</v>
      </c>
      <c r="I42" s="39" t="s">
        <v>448</v>
      </c>
    </row>
    <row r="43">
      <c r="A43" s="35" t="s">
        <v>449</v>
      </c>
      <c r="B43" s="67" t="s">
        <v>451</v>
      </c>
      <c r="D43" s="5" t="s">
        <v>452</v>
      </c>
      <c r="E43" s="41" t="s">
        <v>454</v>
      </c>
      <c r="F43" s="39"/>
      <c r="G43" s="39"/>
      <c r="H43" s="39" t="s">
        <v>455</v>
      </c>
      <c r="I43" s="39" t="s">
        <v>456</v>
      </c>
    </row>
    <row r="44">
      <c r="A44" s="35" t="s">
        <v>457</v>
      </c>
      <c r="B44" s="67" t="s">
        <v>458</v>
      </c>
      <c r="D44" s="5" t="s">
        <v>459</v>
      </c>
      <c r="E44" s="58"/>
      <c r="F44" s="5"/>
      <c r="G44" s="5"/>
      <c r="H44" s="5" t="s">
        <v>460</v>
      </c>
      <c r="I44" s="39" t="s">
        <v>461</v>
      </c>
    </row>
    <row r="45">
      <c r="A45" s="35" t="s">
        <v>462</v>
      </c>
      <c r="B45" s="67" t="s">
        <v>463</v>
      </c>
      <c r="D45" s="5" t="s">
        <v>132</v>
      </c>
      <c r="E45" s="48" t="s">
        <v>118</v>
      </c>
      <c r="F45" s="39"/>
      <c r="G45" s="39"/>
      <c r="H45" s="39" t="s">
        <v>464</v>
      </c>
      <c r="I45" s="39" t="s">
        <v>465</v>
      </c>
    </row>
    <row r="46">
      <c r="A46" s="35" t="s">
        <v>466</v>
      </c>
      <c r="B46" s="67" t="s">
        <v>467</v>
      </c>
      <c r="D46" s="5" t="s">
        <v>468</v>
      </c>
      <c r="E46" s="43" t="s">
        <v>469</v>
      </c>
      <c r="F46" s="39"/>
      <c r="G46" s="39"/>
      <c r="H46" s="39" t="s">
        <v>470</v>
      </c>
      <c r="I46" s="39" t="s">
        <v>471</v>
      </c>
    </row>
    <row r="47">
      <c r="A47" s="35" t="s">
        <v>472</v>
      </c>
      <c r="B47" s="67" t="s">
        <v>473</v>
      </c>
      <c r="D47" s="5" t="s">
        <v>474</v>
      </c>
      <c r="E47" s="41" t="s">
        <v>475</v>
      </c>
      <c r="F47" s="39"/>
      <c r="G47" s="39"/>
      <c r="H47" s="39" t="s">
        <v>476</v>
      </c>
      <c r="I47" s="39" t="s">
        <v>477</v>
      </c>
    </row>
    <row r="48">
      <c r="A48" s="35" t="s">
        <v>478</v>
      </c>
      <c r="B48" s="67" t="s">
        <v>479</v>
      </c>
      <c r="D48" s="5" t="s">
        <v>480</v>
      </c>
      <c r="E48" s="71" t="s">
        <v>481</v>
      </c>
      <c r="F48" s="5"/>
      <c r="G48" s="5"/>
      <c r="H48" s="5" t="s">
        <v>482</v>
      </c>
      <c r="I48" s="39" t="s">
        <v>483</v>
      </c>
    </row>
    <row r="49">
      <c r="A49" s="35" t="s">
        <v>484</v>
      </c>
      <c r="B49" s="67" t="s">
        <v>485</v>
      </c>
      <c r="D49" s="5" t="s">
        <v>329</v>
      </c>
      <c r="E49" s="39"/>
      <c r="F49" s="39"/>
      <c r="G49" s="39"/>
      <c r="H49" s="39" t="s">
        <v>486</v>
      </c>
      <c r="I49" s="39" t="s">
        <v>487</v>
      </c>
    </row>
    <row r="50">
      <c r="A50" s="35" t="s">
        <v>488</v>
      </c>
      <c r="D50" s="5" t="s">
        <v>489</v>
      </c>
      <c r="E50" s="39" t="s">
        <v>490</v>
      </c>
      <c r="F50" s="39"/>
      <c r="G50" s="39"/>
      <c r="H50" s="39" t="s">
        <v>491</v>
      </c>
      <c r="I50" s="39" t="s">
        <v>492</v>
      </c>
    </row>
    <row r="51">
      <c r="A51" s="35" t="s">
        <v>493</v>
      </c>
      <c r="D51" s="5" t="s">
        <v>494</v>
      </c>
      <c r="E51" s="39" t="s">
        <v>495</v>
      </c>
      <c r="F51" s="39"/>
      <c r="G51" s="39"/>
      <c r="H51" s="39" t="s">
        <v>496</v>
      </c>
      <c r="I51" s="39" t="s">
        <v>497</v>
      </c>
    </row>
    <row r="52">
      <c r="A52" s="72" t="s">
        <v>153</v>
      </c>
      <c r="D52" s="5" t="s">
        <v>498</v>
      </c>
      <c r="E52" s="39" t="s">
        <v>499</v>
      </c>
      <c r="F52" s="39"/>
      <c r="G52" s="39"/>
      <c r="H52" s="39" t="s">
        <v>500</v>
      </c>
      <c r="I52" s="39" t="s">
        <v>501</v>
      </c>
    </row>
    <row r="53">
      <c r="A53" s="35" t="s">
        <v>251</v>
      </c>
      <c r="D53" s="5" t="s">
        <v>502</v>
      </c>
      <c r="E53" s="52"/>
      <c r="F53" s="52"/>
      <c r="G53" s="52"/>
      <c r="H53" s="39" t="s">
        <v>329</v>
      </c>
      <c r="I53" s="39" t="s">
        <v>503</v>
      </c>
    </row>
    <row r="54">
      <c r="A54" s="35" t="s">
        <v>504</v>
      </c>
      <c r="D54" s="5" t="s">
        <v>505</v>
      </c>
      <c r="E54" s="54"/>
      <c r="F54" s="54"/>
      <c r="G54" s="54"/>
      <c r="H54" s="38" t="s">
        <v>506</v>
      </c>
      <c r="I54" s="39" t="s">
        <v>507</v>
      </c>
    </row>
    <row r="55">
      <c r="A55" s="35" t="s">
        <v>508</v>
      </c>
      <c r="D55" s="5" t="s">
        <v>509</v>
      </c>
      <c r="E55" s="39"/>
      <c r="F55" s="39"/>
      <c r="G55" s="39"/>
      <c r="H55" s="39" t="s">
        <v>510</v>
      </c>
      <c r="I55" s="39" t="s">
        <v>511</v>
      </c>
    </row>
    <row r="56">
      <c r="A56" s="35" t="s">
        <v>512</v>
      </c>
      <c r="D56" s="5" t="s">
        <v>513</v>
      </c>
      <c r="E56" s="39"/>
      <c r="F56" s="39"/>
      <c r="G56" s="39"/>
      <c r="H56" s="39" t="s">
        <v>514</v>
      </c>
      <c r="I56" s="39" t="s">
        <v>515</v>
      </c>
    </row>
    <row r="57">
      <c r="A57" s="35" t="s">
        <v>516</v>
      </c>
      <c r="D57" s="5" t="s">
        <v>517</v>
      </c>
      <c r="E57" s="5"/>
      <c r="F57" s="5"/>
      <c r="G57" s="5"/>
      <c r="H57" s="5" t="s">
        <v>518</v>
      </c>
      <c r="I57" s="39" t="s">
        <v>519</v>
      </c>
    </row>
    <row r="58">
      <c r="A58" s="35" t="s">
        <v>520</v>
      </c>
      <c r="D58" s="5" t="s">
        <v>521</v>
      </c>
      <c r="E58" s="39"/>
      <c r="F58" s="39"/>
      <c r="G58" s="39"/>
      <c r="H58" s="39" t="s">
        <v>522</v>
      </c>
      <c r="I58" s="39" t="s">
        <v>523</v>
      </c>
    </row>
    <row r="59">
      <c r="A59" s="35" t="s">
        <v>524</v>
      </c>
      <c r="D59" s="5" t="s">
        <v>525</v>
      </c>
      <c r="E59" s="39"/>
      <c r="F59" s="39"/>
      <c r="G59" s="39"/>
      <c r="H59" s="39" t="s">
        <v>526</v>
      </c>
      <c r="I59" s="39" t="s">
        <v>527</v>
      </c>
    </row>
    <row r="60">
      <c r="A60" s="35" t="s">
        <v>528</v>
      </c>
      <c r="D60" s="5" t="s">
        <v>529</v>
      </c>
      <c r="E60" s="39"/>
      <c r="F60" s="39"/>
      <c r="G60" s="39"/>
      <c r="H60" s="39" t="s">
        <v>530</v>
      </c>
      <c r="I60" s="39" t="s">
        <v>491</v>
      </c>
    </row>
    <row r="61">
      <c r="A61" s="35" t="s">
        <v>531</v>
      </c>
      <c r="D61" s="5" t="s">
        <v>532</v>
      </c>
      <c r="E61" s="5"/>
      <c r="F61" s="5"/>
      <c r="G61" s="5"/>
      <c r="H61" s="5" t="s">
        <v>533</v>
      </c>
      <c r="I61" s="39" t="s">
        <v>534</v>
      </c>
    </row>
    <row r="62">
      <c r="A62" s="35" t="s">
        <v>535</v>
      </c>
      <c r="D62" s="5" t="s">
        <v>536</v>
      </c>
      <c r="E62" s="5"/>
      <c r="F62" s="5"/>
      <c r="G62" s="5"/>
      <c r="H62" s="5" t="s">
        <v>537</v>
      </c>
      <c r="I62" s="39" t="s">
        <v>538</v>
      </c>
    </row>
    <row r="63">
      <c r="A63" s="35" t="s">
        <v>539</v>
      </c>
      <c r="D63" s="5" t="s">
        <v>540</v>
      </c>
      <c r="E63" s="39"/>
      <c r="F63" s="39"/>
      <c r="G63" s="39"/>
      <c r="H63" s="39" t="s">
        <v>541</v>
      </c>
      <c r="I63" s="39" t="s">
        <v>542</v>
      </c>
    </row>
    <row r="64">
      <c r="A64" s="35" t="s">
        <v>543</v>
      </c>
      <c r="D64" s="5" t="s">
        <v>544</v>
      </c>
      <c r="E64" s="39"/>
      <c r="F64" s="39"/>
      <c r="G64" s="39"/>
      <c r="H64" s="39" t="s">
        <v>545</v>
      </c>
      <c r="I64" s="39" t="s">
        <v>546</v>
      </c>
    </row>
    <row r="65">
      <c r="A65" s="35" t="s">
        <v>548</v>
      </c>
      <c r="D65" s="5" t="s">
        <v>549</v>
      </c>
      <c r="E65" s="39"/>
      <c r="F65" s="39"/>
      <c r="G65" s="39"/>
      <c r="H65" s="39" t="s">
        <v>413</v>
      </c>
      <c r="I65" s="39" t="s">
        <v>329</v>
      </c>
    </row>
    <row r="66">
      <c r="A66" s="35" t="s">
        <v>551</v>
      </c>
      <c r="D66" s="5" t="s">
        <v>552</v>
      </c>
      <c r="E66" s="5"/>
      <c r="F66" s="5"/>
      <c r="G66" s="5"/>
      <c r="H66" s="5" t="s">
        <v>425</v>
      </c>
      <c r="I66" s="39" t="s">
        <v>553</v>
      </c>
    </row>
    <row r="67">
      <c r="A67" s="35" t="s">
        <v>554</v>
      </c>
      <c r="D67" s="5" t="s">
        <v>555</v>
      </c>
      <c r="E67" s="39"/>
      <c r="F67" s="39"/>
      <c r="G67" s="39"/>
      <c r="H67" s="39" t="s">
        <v>464</v>
      </c>
      <c r="I67" s="39" t="s">
        <v>556</v>
      </c>
    </row>
    <row r="68">
      <c r="A68" s="35" t="s">
        <v>557</v>
      </c>
      <c r="D68" s="5" t="s">
        <v>558</v>
      </c>
      <c r="E68" s="39"/>
      <c r="F68" s="39"/>
      <c r="G68" s="39"/>
      <c r="H68" s="39" t="s">
        <v>500</v>
      </c>
      <c r="I68" s="39" t="s">
        <v>559</v>
      </c>
    </row>
    <row r="69">
      <c r="A69" s="35" t="s">
        <v>560</v>
      </c>
      <c r="D69" s="5" t="s">
        <v>561</v>
      </c>
      <c r="E69" s="39"/>
      <c r="F69" s="39"/>
      <c r="G69" s="39"/>
      <c r="H69" s="39" t="s">
        <v>510</v>
      </c>
      <c r="I69" s="39" t="s">
        <v>562</v>
      </c>
    </row>
    <row r="70">
      <c r="A70" s="35" t="s">
        <v>563</v>
      </c>
      <c r="D70" s="5" t="s">
        <v>564</v>
      </c>
      <c r="E70" s="5"/>
      <c r="F70" s="5"/>
      <c r="G70" s="5"/>
      <c r="H70" s="5" t="s">
        <v>526</v>
      </c>
      <c r="I70" s="39" t="s">
        <v>565</v>
      </c>
    </row>
    <row r="71">
      <c r="A71" s="35" t="s">
        <v>566</v>
      </c>
      <c r="D71" s="5" t="s">
        <v>567</v>
      </c>
      <c r="E71" s="39"/>
      <c r="F71" s="39"/>
      <c r="G71" s="39"/>
      <c r="H71" s="39" t="s">
        <v>533</v>
      </c>
      <c r="I71" s="39" t="s">
        <v>568</v>
      </c>
    </row>
    <row r="72">
      <c r="A72" s="35" t="s">
        <v>569</v>
      </c>
      <c r="D72" s="5" t="s">
        <v>570</v>
      </c>
      <c r="E72" s="39"/>
      <c r="F72" s="39"/>
      <c r="G72" s="39"/>
      <c r="H72" s="39" t="s">
        <v>537</v>
      </c>
      <c r="I72" s="39" t="s">
        <v>571</v>
      </c>
    </row>
    <row r="73">
      <c r="A73" s="35" t="s">
        <v>572</v>
      </c>
      <c r="E73" s="39"/>
      <c r="F73" s="39"/>
      <c r="G73" s="39"/>
      <c r="H73" s="39" t="s">
        <v>541</v>
      </c>
      <c r="I73" s="39" t="s">
        <v>573</v>
      </c>
    </row>
    <row r="74">
      <c r="A74" s="35" t="s">
        <v>574</v>
      </c>
      <c r="E74" s="39"/>
      <c r="F74" s="39"/>
      <c r="G74" s="39"/>
      <c r="H74" s="39" t="s">
        <v>545</v>
      </c>
      <c r="I74" s="39" t="s">
        <v>575</v>
      </c>
    </row>
    <row r="75">
      <c r="A75" s="35" t="s">
        <v>576</v>
      </c>
      <c r="E75" s="39"/>
      <c r="F75" s="39"/>
      <c r="G75" s="39"/>
      <c r="H75" s="39" t="s">
        <v>329</v>
      </c>
      <c r="I75" s="39" t="s">
        <v>577</v>
      </c>
    </row>
    <row r="76">
      <c r="A76" s="35" t="s">
        <v>578</v>
      </c>
      <c r="I76" s="39" t="s">
        <v>579</v>
      </c>
    </row>
    <row r="77">
      <c r="A77" s="35" t="s">
        <v>580</v>
      </c>
      <c r="I77" s="39" t="s">
        <v>522</v>
      </c>
    </row>
    <row r="78">
      <c r="A78" s="35" t="s">
        <v>329</v>
      </c>
      <c r="I78" s="39" t="s">
        <v>581</v>
      </c>
    </row>
    <row r="79">
      <c r="I79" s="39" t="s">
        <v>582</v>
      </c>
    </row>
    <row r="80">
      <c r="I80" s="39" t="s">
        <v>583</v>
      </c>
    </row>
    <row r="81">
      <c r="I81" s="39" t="s">
        <v>584</v>
      </c>
    </row>
    <row r="82">
      <c r="I82" s="39" t="s">
        <v>585</v>
      </c>
    </row>
    <row r="83">
      <c r="I83" s="39" t="s">
        <v>586</v>
      </c>
    </row>
    <row r="84">
      <c r="I84" s="39" t="s">
        <v>587</v>
      </c>
    </row>
    <row r="85">
      <c r="I85" s="39" t="s">
        <v>588</v>
      </c>
    </row>
  </sheetData>
  <mergeCells count="2">
    <mergeCell ref="F5:G5"/>
    <mergeCell ref="F6:G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5" max="5" width="36.5"/>
  </cols>
  <sheetData>
    <row r="1">
      <c r="A1" s="66" t="s">
        <v>3</v>
      </c>
      <c r="B1" s="66" t="s">
        <v>450</v>
      </c>
      <c r="C1" s="66" t="s">
        <v>169</v>
      </c>
      <c r="E1" s="5" t="s">
        <v>453</v>
      </c>
    </row>
    <row r="2" hidden="1">
      <c r="A2" s="68">
        <v>1.0</v>
      </c>
      <c r="B2" s="69" t="s">
        <v>81</v>
      </c>
      <c r="C2" s="70" t="s">
        <v>211</v>
      </c>
    </row>
    <row r="3" hidden="1">
      <c r="A3" s="68">
        <v>2.0</v>
      </c>
      <c r="B3" s="69" t="s">
        <v>81</v>
      </c>
      <c r="C3" s="70" t="s">
        <v>224</v>
      </c>
    </row>
    <row r="4" hidden="1">
      <c r="A4" s="68">
        <v>3.0</v>
      </c>
      <c r="B4" s="69" t="s">
        <v>81</v>
      </c>
      <c r="C4" s="70" t="s">
        <v>90</v>
      </c>
    </row>
    <row r="5" hidden="1">
      <c r="A5" s="68">
        <v>4.0</v>
      </c>
      <c r="B5" s="69" t="s">
        <v>81</v>
      </c>
      <c r="C5" s="70" t="s">
        <v>241</v>
      </c>
    </row>
    <row r="6" hidden="1">
      <c r="A6" s="68">
        <v>5.0</v>
      </c>
      <c r="B6" s="69" t="s">
        <v>81</v>
      </c>
      <c r="C6" s="70" t="s">
        <v>247</v>
      </c>
    </row>
    <row r="7" hidden="1">
      <c r="A7" s="68">
        <v>7.0</v>
      </c>
      <c r="B7" s="69" t="s">
        <v>113</v>
      </c>
      <c r="C7" s="70" t="s">
        <v>262</v>
      </c>
    </row>
    <row r="8" hidden="1">
      <c r="A8" s="68">
        <v>8.0</v>
      </c>
      <c r="B8" s="69" t="s">
        <v>113</v>
      </c>
      <c r="C8" s="70" t="s">
        <v>271</v>
      </c>
    </row>
    <row r="9" hidden="1">
      <c r="A9" s="68">
        <v>9.0</v>
      </c>
      <c r="B9" s="69" t="s">
        <v>106</v>
      </c>
      <c r="C9" s="70" t="s">
        <v>284</v>
      </c>
    </row>
    <row r="10" hidden="1">
      <c r="A10" s="68">
        <v>10.0</v>
      </c>
      <c r="B10" s="69" t="s">
        <v>106</v>
      </c>
      <c r="C10" s="70" t="s">
        <v>290</v>
      </c>
    </row>
    <row r="11" hidden="1">
      <c r="A11" s="68">
        <v>11.0</v>
      </c>
      <c r="B11" s="69" t="s">
        <v>106</v>
      </c>
      <c r="C11" s="70" t="s">
        <v>296</v>
      </c>
    </row>
    <row r="12" hidden="1">
      <c r="A12" s="68">
        <v>12.0</v>
      </c>
      <c r="B12" s="69" t="s">
        <v>106</v>
      </c>
      <c r="C12" s="70" t="s">
        <v>304</v>
      </c>
    </row>
    <row r="13" hidden="1">
      <c r="A13" s="68">
        <v>13.0</v>
      </c>
      <c r="B13" s="69" t="s">
        <v>106</v>
      </c>
      <c r="C13" s="70" t="s">
        <v>311</v>
      </c>
    </row>
    <row r="14" hidden="1">
      <c r="A14" s="68">
        <v>14.0</v>
      </c>
      <c r="B14" s="69" t="s">
        <v>106</v>
      </c>
      <c r="C14" s="70" t="s">
        <v>319</v>
      </c>
    </row>
    <row r="15" hidden="1">
      <c r="A15" s="68">
        <v>15.0</v>
      </c>
      <c r="B15" s="69" t="s">
        <v>106</v>
      </c>
      <c r="C15" s="70" t="s">
        <v>326</v>
      </c>
    </row>
    <row r="16" hidden="1">
      <c r="A16" s="68">
        <v>16.0</v>
      </c>
      <c r="B16" s="69" t="s">
        <v>106</v>
      </c>
      <c r="C16" s="70" t="s">
        <v>333</v>
      </c>
    </row>
    <row r="17" hidden="1">
      <c r="A17" s="68">
        <v>17.0</v>
      </c>
      <c r="B17" s="69" t="s">
        <v>106</v>
      </c>
      <c r="C17" s="70" t="s">
        <v>339</v>
      </c>
    </row>
    <row r="18" hidden="1">
      <c r="A18" s="68">
        <v>18.0</v>
      </c>
      <c r="B18" s="69" t="s">
        <v>106</v>
      </c>
      <c r="C18" s="70" t="s">
        <v>345</v>
      </c>
    </row>
    <row r="19" hidden="1">
      <c r="A19" s="68">
        <v>19.0</v>
      </c>
      <c r="B19" s="69" t="s">
        <v>106</v>
      </c>
      <c r="C19" s="70" t="s">
        <v>352</v>
      </c>
    </row>
    <row r="20" hidden="1">
      <c r="A20" s="68">
        <v>20.0</v>
      </c>
      <c r="B20" s="69" t="s">
        <v>106</v>
      </c>
      <c r="C20" s="70" t="s">
        <v>356</v>
      </c>
    </row>
    <row r="21" hidden="1">
      <c r="A21" s="68">
        <v>21.0</v>
      </c>
      <c r="B21" s="69" t="s">
        <v>106</v>
      </c>
      <c r="C21" s="70" t="s">
        <v>363</v>
      </c>
    </row>
    <row r="22" hidden="1">
      <c r="A22" s="68">
        <v>22.0</v>
      </c>
      <c r="B22" s="69" t="s">
        <v>106</v>
      </c>
      <c r="C22" s="70" t="s">
        <v>370</v>
      </c>
    </row>
    <row r="23" hidden="1">
      <c r="A23" s="68">
        <v>23.0</v>
      </c>
      <c r="B23" s="69" t="s">
        <v>547</v>
      </c>
      <c r="C23" s="70" t="s">
        <v>377</v>
      </c>
    </row>
    <row r="24" hidden="1">
      <c r="A24" s="68">
        <v>24.0</v>
      </c>
      <c r="B24" s="69" t="s">
        <v>550</v>
      </c>
      <c r="C24" s="70" t="s">
        <v>395</v>
      </c>
    </row>
    <row r="25" hidden="1">
      <c r="A25" s="68">
        <v>25.0</v>
      </c>
      <c r="B25" s="69" t="s">
        <v>550</v>
      </c>
      <c r="C25" s="70" t="s">
        <v>401</v>
      </c>
    </row>
    <row r="26" hidden="1">
      <c r="A26" s="68">
        <v>26.0</v>
      </c>
      <c r="B26" s="69" t="s">
        <v>550</v>
      </c>
      <c r="C26" s="70" t="s">
        <v>408</v>
      </c>
    </row>
    <row r="27" hidden="1">
      <c r="A27" s="68">
        <v>27.0</v>
      </c>
      <c r="B27" s="69" t="s">
        <v>18</v>
      </c>
      <c r="C27" s="70" t="s">
        <v>416</v>
      </c>
    </row>
    <row r="28" hidden="1">
      <c r="A28" s="68">
        <v>28.0</v>
      </c>
      <c r="B28" s="69" t="s">
        <v>18</v>
      </c>
      <c r="C28" s="70" t="s">
        <v>422</v>
      </c>
    </row>
    <row r="29" hidden="1">
      <c r="A29" s="68">
        <v>29.0</v>
      </c>
      <c r="B29" s="69" t="s">
        <v>18</v>
      </c>
      <c r="C29" s="70" t="s">
        <v>428</v>
      </c>
    </row>
    <row r="30" hidden="1">
      <c r="A30" s="68">
        <v>30.0</v>
      </c>
      <c r="B30" s="69" t="s">
        <v>18</v>
      </c>
      <c r="C30" s="70" t="s">
        <v>434</v>
      </c>
    </row>
    <row r="31" hidden="1">
      <c r="A31" s="68">
        <v>31.0</v>
      </c>
      <c r="B31" s="69" t="s">
        <v>18</v>
      </c>
      <c r="C31" s="70" t="s">
        <v>439</v>
      </c>
    </row>
    <row r="32">
      <c r="A32" s="68">
        <v>32.0</v>
      </c>
      <c r="B32" s="69" t="s">
        <v>444</v>
      </c>
      <c r="C32" s="70" t="s">
        <v>451</v>
      </c>
    </row>
    <row r="33">
      <c r="A33" s="68">
        <v>33.0</v>
      </c>
      <c r="B33" s="69" t="s">
        <v>444</v>
      </c>
      <c r="C33" s="70" t="s">
        <v>458</v>
      </c>
    </row>
    <row r="34">
      <c r="A34" s="68">
        <v>34.0</v>
      </c>
      <c r="B34" s="69" t="s">
        <v>444</v>
      </c>
      <c r="C34" s="70" t="s">
        <v>463</v>
      </c>
    </row>
    <row r="35">
      <c r="A35" s="68">
        <v>35.0</v>
      </c>
      <c r="B35" s="69" t="s">
        <v>444</v>
      </c>
      <c r="C35" s="70" t="s">
        <v>467</v>
      </c>
    </row>
    <row r="36">
      <c r="A36" s="68">
        <v>36.0</v>
      </c>
      <c r="B36" s="69" t="s">
        <v>444</v>
      </c>
      <c r="C36" s="70" t="s">
        <v>473</v>
      </c>
    </row>
    <row r="37">
      <c r="A37" s="68">
        <v>37.0</v>
      </c>
      <c r="B37" s="69" t="s">
        <v>444</v>
      </c>
      <c r="C37" s="70" t="s">
        <v>479</v>
      </c>
    </row>
    <row r="38">
      <c r="A38" s="68">
        <v>38.0</v>
      </c>
      <c r="B38" s="69" t="s">
        <v>444</v>
      </c>
      <c r="C38" s="70" t="s">
        <v>485</v>
      </c>
    </row>
  </sheetData>
  <autoFilter ref="$A$1:$C$38">
    <filterColumn colId="1">
      <filters>
        <filter val="Fish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1.63"/>
  </cols>
  <sheetData>
    <row r="1">
      <c r="B1" s="5" t="s">
        <v>589</v>
      </c>
      <c r="F1" s="5" t="s">
        <v>590</v>
      </c>
    </row>
    <row r="2">
      <c r="B2" s="5" t="s">
        <v>591</v>
      </c>
      <c r="C2" s="5" t="s">
        <v>592</v>
      </c>
      <c r="F2" s="5" t="s">
        <v>593</v>
      </c>
    </row>
    <row r="3">
      <c r="B3" s="5" t="s">
        <v>81</v>
      </c>
      <c r="C3" s="58" t="s">
        <v>212</v>
      </c>
    </row>
    <row r="4">
      <c r="B4" s="5" t="s">
        <v>81</v>
      </c>
      <c r="C4" s="58" t="s">
        <v>225</v>
      </c>
    </row>
    <row r="5">
      <c r="B5" s="5" t="s">
        <v>81</v>
      </c>
      <c r="C5" s="58" t="s">
        <v>233</v>
      </c>
    </row>
    <row r="6">
      <c r="B6" s="5" t="s">
        <v>81</v>
      </c>
      <c r="C6" s="58" t="s">
        <v>242</v>
      </c>
    </row>
    <row r="7">
      <c r="B7" s="5" t="s">
        <v>113</v>
      </c>
      <c r="C7" s="58" t="s">
        <v>255</v>
      </c>
    </row>
    <row r="8">
      <c r="B8" s="5" t="s">
        <v>113</v>
      </c>
      <c r="C8" s="58" t="s">
        <v>263</v>
      </c>
    </row>
    <row r="9">
      <c r="B9" s="5" t="s">
        <v>113</v>
      </c>
      <c r="C9" s="58" t="s">
        <v>272</v>
      </c>
    </row>
    <row r="10">
      <c r="B10" s="5" t="s">
        <v>113</v>
      </c>
      <c r="C10" s="58" t="s">
        <v>212</v>
      </c>
    </row>
    <row r="11">
      <c r="B11" s="5" t="s">
        <v>113</v>
      </c>
      <c r="C11" s="58" t="s">
        <v>225</v>
      </c>
    </row>
    <row r="12">
      <c r="B12" s="5" t="s">
        <v>113</v>
      </c>
      <c r="C12" s="58" t="s">
        <v>233</v>
      </c>
    </row>
    <row r="13">
      <c r="B13" s="5" t="s">
        <v>113</v>
      </c>
      <c r="C13" s="58" t="s">
        <v>242</v>
      </c>
    </row>
    <row r="14">
      <c r="B14" s="5" t="s">
        <v>377</v>
      </c>
      <c r="C14" s="58" t="s">
        <v>594</v>
      </c>
    </row>
    <row r="15">
      <c r="B15" s="5" t="s">
        <v>377</v>
      </c>
      <c r="C15" s="58" t="s">
        <v>595</v>
      </c>
    </row>
    <row r="16">
      <c r="B16" s="5" t="s">
        <v>377</v>
      </c>
      <c r="C16" s="58" t="s">
        <v>255</v>
      </c>
    </row>
    <row r="17">
      <c r="B17" s="5" t="s">
        <v>377</v>
      </c>
      <c r="C17" s="58" t="s">
        <v>263</v>
      </c>
    </row>
    <row r="18">
      <c r="B18" s="5" t="s">
        <v>377</v>
      </c>
      <c r="C18" s="58" t="s">
        <v>272</v>
      </c>
    </row>
    <row r="19">
      <c r="B19" s="5" t="s">
        <v>377</v>
      </c>
      <c r="C19" s="58" t="s">
        <v>212</v>
      </c>
    </row>
    <row r="20">
      <c r="B20" s="5" t="s">
        <v>377</v>
      </c>
      <c r="C20" s="58" t="s">
        <v>225</v>
      </c>
    </row>
    <row r="21">
      <c r="B21" s="5" t="s">
        <v>377</v>
      </c>
      <c r="C21" s="58" t="s">
        <v>233</v>
      </c>
    </row>
    <row r="22">
      <c r="B22" s="5" t="s">
        <v>377</v>
      </c>
      <c r="C22" s="58" t="s">
        <v>242</v>
      </c>
    </row>
    <row r="23">
      <c r="B23" s="5" t="s">
        <v>106</v>
      </c>
      <c r="C23" s="58" t="s">
        <v>297</v>
      </c>
    </row>
    <row r="24">
      <c r="B24" s="5" t="s">
        <v>106</v>
      </c>
      <c r="C24" s="58" t="s">
        <v>305</v>
      </c>
    </row>
    <row r="25">
      <c r="B25" s="5" t="s">
        <v>106</v>
      </c>
      <c r="C25" s="58" t="s">
        <v>313</v>
      </c>
    </row>
    <row r="26">
      <c r="B26" s="5" t="s">
        <v>106</v>
      </c>
      <c r="C26" s="58" t="s">
        <v>320</v>
      </c>
    </row>
    <row r="27">
      <c r="B27" s="5" t="s">
        <v>106</v>
      </c>
      <c r="C27" s="58" t="s">
        <v>327</v>
      </c>
    </row>
    <row r="28">
      <c r="B28" s="5" t="s">
        <v>106</v>
      </c>
      <c r="C28" s="58" t="s">
        <v>334</v>
      </c>
    </row>
    <row r="29">
      <c r="B29" s="5" t="s">
        <v>106</v>
      </c>
      <c r="C29" s="58" t="s">
        <v>340</v>
      </c>
    </row>
    <row r="30">
      <c r="B30" s="5" t="s">
        <v>106</v>
      </c>
      <c r="C30" s="58" t="s">
        <v>346</v>
      </c>
    </row>
    <row r="31">
      <c r="B31" s="5" t="s">
        <v>550</v>
      </c>
      <c r="C31" s="58" t="s">
        <v>597</v>
      </c>
    </row>
    <row r="32">
      <c r="B32" s="5" t="s">
        <v>550</v>
      </c>
      <c r="C32" s="58" t="s">
        <v>598</v>
      </c>
    </row>
    <row r="33">
      <c r="B33" s="5" t="s">
        <v>550</v>
      </c>
      <c r="C33" s="58" t="s">
        <v>599</v>
      </c>
    </row>
    <row r="34">
      <c r="B34" s="5" t="s">
        <v>550</v>
      </c>
      <c r="C34" s="58" t="s">
        <v>320</v>
      </c>
    </row>
    <row r="35">
      <c r="B35" s="5" t="s">
        <v>550</v>
      </c>
      <c r="C35" s="58" t="s">
        <v>327</v>
      </c>
      <c r="G35" s="5" t="s">
        <v>600</v>
      </c>
    </row>
    <row r="36">
      <c r="B36" s="5" t="s">
        <v>18</v>
      </c>
      <c r="C36" s="5" t="s">
        <v>602</v>
      </c>
    </row>
    <row r="37">
      <c r="B37" s="5" t="s">
        <v>18</v>
      </c>
      <c r="C37" s="5" t="s">
        <v>603</v>
      </c>
    </row>
    <row r="38">
      <c r="B38" s="5" t="s">
        <v>18</v>
      </c>
      <c r="C38" s="5" t="s">
        <v>378</v>
      </c>
      <c r="I38" s="5" t="s">
        <v>600</v>
      </c>
    </row>
    <row r="39">
      <c r="B39" s="5" t="s">
        <v>18</v>
      </c>
      <c r="C39" s="5" t="s">
        <v>605</v>
      </c>
    </row>
    <row r="40">
      <c r="B40" s="5" t="s">
        <v>18</v>
      </c>
      <c r="C40" s="5" t="s">
        <v>606</v>
      </c>
    </row>
    <row r="41">
      <c r="B41" s="5" t="s">
        <v>18</v>
      </c>
      <c r="C41" s="5" t="s">
        <v>396</v>
      </c>
    </row>
    <row r="42">
      <c r="B42" s="5" t="s">
        <v>18</v>
      </c>
      <c r="C42" s="5" t="s">
        <v>402</v>
      </c>
    </row>
    <row r="43">
      <c r="B43" s="5" t="s">
        <v>18</v>
      </c>
      <c r="C43" s="5" t="s">
        <v>607</v>
      </c>
    </row>
    <row r="44">
      <c r="B44" s="5" t="s">
        <v>18</v>
      </c>
      <c r="C44" s="5" t="s">
        <v>608</v>
      </c>
    </row>
    <row r="46">
      <c r="F46" s="5" t="s">
        <v>600</v>
      </c>
    </row>
  </sheetData>
  <autoFilter ref="$B$2:$C$44"/>
  <mergeCells count="1">
    <mergeCell ref="B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7.38"/>
    <col customWidth="1" min="3" max="3" width="14.88"/>
    <col customWidth="1" min="5" max="5" width="2.38"/>
  </cols>
  <sheetData>
    <row r="1">
      <c r="A1" s="32" t="s">
        <v>194</v>
      </c>
    </row>
    <row r="2">
      <c r="B2" s="73" t="s">
        <v>596</v>
      </c>
      <c r="C2" s="5" t="s">
        <v>601</v>
      </c>
      <c r="D2" s="74" t="s">
        <v>604</v>
      </c>
    </row>
    <row r="3">
      <c r="B3" s="39" t="s">
        <v>490</v>
      </c>
    </row>
    <row r="4">
      <c r="B4" s="39"/>
    </row>
    <row r="5">
      <c r="B5" s="39" t="s">
        <v>499</v>
      </c>
    </row>
    <row r="7">
      <c r="A7" s="75"/>
      <c r="B7" s="75"/>
      <c r="C7" s="75"/>
      <c r="D7" s="76">
        <f>AVERAGE(D9:D38)</f>
        <v>72.22222222</v>
      </c>
      <c r="E7" s="75"/>
      <c r="F7" s="77" t="s">
        <v>609</v>
      </c>
      <c r="G7" s="78"/>
      <c r="H7" s="75"/>
    </row>
    <row r="8">
      <c r="A8" s="74" t="s">
        <v>450</v>
      </c>
      <c r="B8" s="74" t="s">
        <v>610</v>
      </c>
      <c r="C8" s="74" t="s">
        <v>611</v>
      </c>
      <c r="D8" s="74" t="s">
        <v>612</v>
      </c>
      <c r="E8" s="80"/>
      <c r="F8" s="74" t="s">
        <v>613</v>
      </c>
      <c r="G8" s="74" t="s">
        <v>49</v>
      </c>
      <c r="H8" s="74" t="s">
        <v>604</v>
      </c>
    </row>
    <row r="9">
      <c r="A9" s="81" t="s">
        <v>202</v>
      </c>
      <c r="B9" s="83" t="s">
        <v>215</v>
      </c>
      <c r="C9" s="84">
        <v>50.0</v>
      </c>
      <c r="D9" s="85"/>
      <c r="E9" s="86"/>
      <c r="F9" s="87" t="s">
        <v>615</v>
      </c>
      <c r="G9" s="78" t="s">
        <v>616</v>
      </c>
      <c r="H9" s="88" t="s">
        <v>617</v>
      </c>
    </row>
    <row r="10">
      <c r="A10" s="81" t="s">
        <v>202</v>
      </c>
      <c r="B10" s="89" t="s">
        <v>227</v>
      </c>
      <c r="C10" s="90">
        <v>100.0</v>
      </c>
      <c r="D10" s="90">
        <v>100.0</v>
      </c>
      <c r="E10" s="86"/>
      <c r="F10" s="87" t="s">
        <v>618</v>
      </c>
      <c r="G10" s="78" t="s">
        <v>619</v>
      </c>
      <c r="H10" s="92" t="s">
        <v>620</v>
      </c>
    </row>
    <row r="11">
      <c r="A11" s="81" t="s">
        <v>202</v>
      </c>
      <c r="B11" s="83" t="s">
        <v>235</v>
      </c>
      <c r="C11" s="84">
        <v>50.0</v>
      </c>
      <c r="D11" s="85"/>
      <c r="E11" s="86"/>
      <c r="F11" s="78" t="s">
        <v>621</v>
      </c>
      <c r="G11" s="78" t="s">
        <v>622</v>
      </c>
      <c r="H11" s="93" t="s">
        <v>623</v>
      </c>
    </row>
    <row r="12">
      <c r="A12" s="81" t="s">
        <v>105</v>
      </c>
      <c r="B12" s="83" t="s">
        <v>215</v>
      </c>
      <c r="C12" s="84">
        <v>50.0</v>
      </c>
      <c r="D12" s="85"/>
      <c r="E12" s="86"/>
      <c r="F12" s="75"/>
      <c r="G12" s="75"/>
      <c r="H12" s="75"/>
      <c r="I12" s="75"/>
    </row>
    <row r="13">
      <c r="A13" s="81" t="s">
        <v>105</v>
      </c>
      <c r="B13" s="89" t="s">
        <v>227</v>
      </c>
      <c r="C13" s="90">
        <v>100.0</v>
      </c>
      <c r="D13" s="90">
        <v>100.0</v>
      </c>
      <c r="E13" s="86"/>
      <c r="F13" s="75"/>
      <c r="G13" s="75"/>
      <c r="H13" s="75"/>
      <c r="I13" s="75"/>
    </row>
    <row r="14">
      <c r="A14" s="81" t="s">
        <v>105</v>
      </c>
      <c r="B14" s="83" t="s">
        <v>235</v>
      </c>
      <c r="C14" s="84">
        <v>50.0</v>
      </c>
      <c r="D14" s="85"/>
      <c r="E14" s="86"/>
      <c r="F14" s="75"/>
      <c r="G14" s="75"/>
      <c r="H14" s="75"/>
      <c r="I14" s="75"/>
    </row>
    <row r="15">
      <c r="A15" s="81" t="s">
        <v>108</v>
      </c>
      <c r="B15" s="89" t="s">
        <v>292</v>
      </c>
      <c r="C15" s="90">
        <v>100.0</v>
      </c>
      <c r="D15" s="90">
        <v>100.0</v>
      </c>
      <c r="E15" s="86"/>
      <c r="F15" s="75"/>
      <c r="G15" s="75"/>
      <c r="H15" s="75"/>
      <c r="I15" s="75"/>
    </row>
    <row r="16">
      <c r="A16" s="81" t="s">
        <v>108</v>
      </c>
      <c r="B16" s="83" t="s">
        <v>299</v>
      </c>
      <c r="C16" s="84">
        <v>50.0</v>
      </c>
      <c r="D16" s="85"/>
      <c r="E16" s="86"/>
      <c r="F16" s="75"/>
      <c r="G16" s="75"/>
      <c r="H16" s="75"/>
      <c r="I16" s="75"/>
    </row>
    <row r="17">
      <c r="A17" s="81" t="s">
        <v>108</v>
      </c>
      <c r="B17" s="83" t="s">
        <v>307</v>
      </c>
      <c r="C17" s="84">
        <v>50.0</v>
      </c>
      <c r="D17" s="85"/>
      <c r="E17" s="86"/>
      <c r="F17" s="75"/>
      <c r="G17" s="75"/>
      <c r="H17" s="75"/>
      <c r="I17" s="75"/>
    </row>
    <row r="18">
      <c r="A18" s="81" t="s">
        <v>108</v>
      </c>
      <c r="B18" s="83" t="s">
        <v>315</v>
      </c>
      <c r="C18" s="84">
        <v>50.0</v>
      </c>
      <c r="D18" s="85"/>
      <c r="E18" s="86"/>
      <c r="F18" s="75"/>
      <c r="G18" s="75"/>
      <c r="H18" s="75"/>
      <c r="I18" s="75"/>
    </row>
    <row r="19">
      <c r="A19" s="81" t="s">
        <v>108</v>
      </c>
      <c r="B19" s="83" t="s">
        <v>322</v>
      </c>
      <c r="C19" s="84">
        <v>50.0</v>
      </c>
      <c r="D19" s="85"/>
      <c r="E19" s="86"/>
      <c r="F19" s="75"/>
      <c r="G19" s="75"/>
      <c r="H19" s="75"/>
      <c r="I19" s="75"/>
    </row>
    <row r="20">
      <c r="A20" s="81" t="s">
        <v>108</v>
      </c>
      <c r="B20" s="83" t="s">
        <v>329</v>
      </c>
      <c r="C20" s="84">
        <v>50.0</v>
      </c>
      <c r="D20" s="85"/>
      <c r="E20" s="86"/>
      <c r="F20" s="75"/>
      <c r="G20" s="75"/>
      <c r="H20" s="75"/>
      <c r="I20" s="75"/>
    </row>
    <row r="21">
      <c r="A21" s="81" t="s">
        <v>111</v>
      </c>
      <c r="B21" s="83" t="s">
        <v>625</v>
      </c>
      <c r="C21" s="84">
        <v>50.0</v>
      </c>
      <c r="D21" s="85"/>
      <c r="E21" s="86"/>
      <c r="F21" s="75"/>
      <c r="G21" s="75"/>
      <c r="H21" s="75"/>
      <c r="I21" s="75"/>
    </row>
    <row r="22">
      <c r="A22" s="81" t="s">
        <v>111</v>
      </c>
      <c r="B22" s="95" t="s">
        <v>353</v>
      </c>
      <c r="C22" s="84">
        <v>50.0</v>
      </c>
      <c r="D22" s="85"/>
      <c r="E22" s="86"/>
      <c r="F22" s="75"/>
      <c r="G22" s="75"/>
      <c r="H22" s="75"/>
      <c r="I22" s="75"/>
    </row>
    <row r="23">
      <c r="A23" s="81" t="s">
        <v>111</v>
      </c>
      <c r="B23" s="96" t="s">
        <v>359</v>
      </c>
      <c r="C23" s="90">
        <v>100.0</v>
      </c>
      <c r="D23" s="90">
        <v>100.0</v>
      </c>
      <c r="E23" s="86"/>
      <c r="F23" s="75"/>
      <c r="G23" s="75"/>
      <c r="H23" s="75"/>
      <c r="I23" s="75"/>
    </row>
    <row r="24">
      <c r="A24" s="81" t="s">
        <v>111</v>
      </c>
      <c r="B24" s="83" t="s">
        <v>366</v>
      </c>
      <c r="C24" s="84">
        <v>50.0</v>
      </c>
      <c r="D24" s="85"/>
      <c r="E24" s="86"/>
      <c r="F24" s="75"/>
      <c r="G24" s="75"/>
      <c r="H24" s="75"/>
      <c r="I24" s="75"/>
    </row>
    <row r="25">
      <c r="A25" s="81" t="s">
        <v>111</v>
      </c>
      <c r="B25" s="83" t="s">
        <v>373</v>
      </c>
      <c r="C25" s="84">
        <v>50.0</v>
      </c>
      <c r="D25" s="85"/>
      <c r="E25" s="86"/>
      <c r="F25" s="75"/>
      <c r="G25" s="75"/>
      <c r="H25" s="75"/>
      <c r="I25" s="75"/>
    </row>
    <row r="26">
      <c r="A26" s="81" t="s">
        <v>120</v>
      </c>
      <c r="B26" s="83" t="s">
        <v>391</v>
      </c>
      <c r="C26" s="84">
        <v>50.0</v>
      </c>
      <c r="D26" s="85"/>
      <c r="E26" s="86"/>
      <c r="F26" s="75"/>
      <c r="G26" s="75"/>
      <c r="H26" s="75"/>
      <c r="I26" s="75"/>
    </row>
    <row r="27">
      <c r="A27" s="81" t="s">
        <v>120</v>
      </c>
      <c r="B27" s="89" t="s">
        <v>398</v>
      </c>
      <c r="C27" s="90">
        <v>100.0</v>
      </c>
      <c r="D27" s="91"/>
      <c r="E27" s="86"/>
      <c r="F27" s="75"/>
      <c r="G27" s="75"/>
      <c r="H27" s="75"/>
      <c r="I27" s="75"/>
    </row>
    <row r="28">
      <c r="A28" s="81" t="s">
        <v>120</v>
      </c>
      <c r="B28" s="83" t="s">
        <v>404</v>
      </c>
      <c r="C28" s="84">
        <v>50.0</v>
      </c>
      <c r="D28" s="84">
        <v>50.0</v>
      </c>
      <c r="E28" s="86"/>
      <c r="F28" s="75"/>
      <c r="G28" s="75"/>
      <c r="H28" s="75"/>
      <c r="I28" s="75"/>
    </row>
    <row r="29">
      <c r="A29" s="94" t="s">
        <v>116</v>
      </c>
      <c r="B29" s="95" t="s">
        <v>418</v>
      </c>
      <c r="C29" s="84">
        <v>50.0</v>
      </c>
      <c r="D29" s="85"/>
      <c r="E29" s="86"/>
      <c r="F29" s="75"/>
      <c r="G29" s="75"/>
      <c r="H29" s="75"/>
      <c r="I29" s="75"/>
    </row>
    <row r="30">
      <c r="A30" s="94" t="s">
        <v>116</v>
      </c>
      <c r="B30" s="96" t="s">
        <v>424</v>
      </c>
      <c r="C30" s="90">
        <v>100.0</v>
      </c>
      <c r="D30" s="90">
        <v>50.0</v>
      </c>
      <c r="E30" s="86"/>
      <c r="F30" s="75"/>
      <c r="G30" s="75"/>
      <c r="H30" s="75"/>
      <c r="I30" s="75"/>
    </row>
    <row r="31">
      <c r="A31" s="94" t="s">
        <v>116</v>
      </c>
      <c r="B31" s="83" t="s">
        <v>430</v>
      </c>
      <c r="C31" s="84">
        <v>50.0</v>
      </c>
      <c r="D31" s="85"/>
      <c r="E31" s="86"/>
      <c r="F31" s="75"/>
      <c r="G31" s="75"/>
      <c r="H31" s="75"/>
      <c r="I31" s="75"/>
    </row>
    <row r="32">
      <c r="A32" s="81" t="s">
        <v>441</v>
      </c>
      <c r="B32" s="96" t="s">
        <v>446</v>
      </c>
      <c r="C32" s="90">
        <v>100.0</v>
      </c>
      <c r="D32" s="91"/>
      <c r="E32" s="86"/>
      <c r="F32" s="75"/>
      <c r="G32" s="75"/>
      <c r="H32" s="75"/>
      <c r="I32" s="75"/>
    </row>
    <row r="33">
      <c r="A33" s="81" t="s">
        <v>441</v>
      </c>
      <c r="B33" s="83" t="s">
        <v>454</v>
      </c>
      <c r="C33" s="84">
        <v>50.0</v>
      </c>
      <c r="D33" s="84">
        <v>50.0</v>
      </c>
      <c r="E33" s="86"/>
      <c r="F33" s="75"/>
      <c r="G33" s="75"/>
      <c r="H33" s="75"/>
      <c r="I33" s="75"/>
    </row>
    <row r="34">
      <c r="A34" s="81" t="s">
        <v>118</v>
      </c>
      <c r="B34" s="89" t="s">
        <v>469</v>
      </c>
      <c r="C34" s="90">
        <v>100.0</v>
      </c>
      <c r="D34" s="91"/>
      <c r="E34" s="86"/>
      <c r="F34" s="75"/>
      <c r="G34" s="75"/>
      <c r="H34" s="75"/>
      <c r="I34" s="75"/>
    </row>
    <row r="35">
      <c r="A35" s="81" t="s">
        <v>118</v>
      </c>
      <c r="B35" s="83" t="s">
        <v>475</v>
      </c>
      <c r="C35" s="84">
        <v>50.0</v>
      </c>
      <c r="D35" s="84">
        <v>50.0</v>
      </c>
      <c r="E35" s="86"/>
      <c r="F35" s="75"/>
      <c r="G35" s="75"/>
      <c r="H35" s="75"/>
      <c r="I35" s="75"/>
    </row>
    <row r="36">
      <c r="A36" s="81" t="s">
        <v>118</v>
      </c>
      <c r="B36" s="100" t="s">
        <v>481</v>
      </c>
      <c r="C36" s="101">
        <v>0.0</v>
      </c>
      <c r="D36" s="103"/>
      <c r="E36" s="86"/>
      <c r="F36" s="75"/>
      <c r="G36" s="75"/>
      <c r="H36" s="75"/>
      <c r="I36" s="75"/>
    </row>
    <row r="37">
      <c r="A37" s="31" t="s">
        <v>633</v>
      </c>
      <c r="B37" s="83" t="s">
        <v>418</v>
      </c>
      <c r="C37" s="84">
        <v>50.0</v>
      </c>
      <c r="D37" s="84">
        <v>50.0</v>
      </c>
    </row>
    <row r="38">
      <c r="A38" s="31" t="s">
        <v>633</v>
      </c>
      <c r="B38" s="89" t="s">
        <v>640</v>
      </c>
      <c r="C38" s="90">
        <v>100.0</v>
      </c>
      <c r="D38" s="91"/>
    </row>
  </sheetData>
  <hyperlinks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7.38"/>
  </cols>
  <sheetData>
    <row r="1">
      <c r="A1" s="32" t="s">
        <v>194</v>
      </c>
    </row>
    <row r="2">
      <c r="B2" s="73" t="s">
        <v>596</v>
      </c>
      <c r="C2" s="5" t="s">
        <v>601</v>
      </c>
      <c r="D2" s="74" t="s">
        <v>604</v>
      </c>
    </row>
    <row r="3">
      <c r="B3" s="39" t="s">
        <v>490</v>
      </c>
    </row>
    <row r="4">
      <c r="B4" s="39"/>
    </row>
    <row r="5">
      <c r="B5" s="39" t="s">
        <v>499</v>
      </c>
    </row>
    <row r="7">
      <c r="A7" s="75"/>
      <c r="B7" s="75"/>
      <c r="C7" s="75"/>
      <c r="D7" s="79">
        <f>AVERAGE(D9:D21)</f>
        <v>80</v>
      </c>
      <c r="E7" s="75"/>
      <c r="F7" s="75"/>
      <c r="G7" s="78" t="s">
        <v>614</v>
      </c>
      <c r="H7" s="75"/>
      <c r="I7" s="82" t="s">
        <v>106</v>
      </c>
    </row>
    <row r="8">
      <c r="A8" s="74" t="s">
        <v>450</v>
      </c>
      <c r="B8" s="74" t="s">
        <v>610</v>
      </c>
      <c r="C8" s="74" t="s">
        <v>611</v>
      </c>
      <c r="D8" s="74" t="s">
        <v>612</v>
      </c>
      <c r="E8" s="80"/>
      <c r="F8" s="75"/>
      <c r="G8" s="74" t="s">
        <v>613</v>
      </c>
      <c r="H8" s="74" t="s">
        <v>49</v>
      </c>
      <c r="I8" s="74" t="s">
        <v>604</v>
      </c>
    </row>
    <row r="9">
      <c r="A9" s="81" t="s">
        <v>120</v>
      </c>
      <c r="B9" s="83" t="s">
        <v>391</v>
      </c>
      <c r="C9" s="84">
        <v>50.0</v>
      </c>
      <c r="D9" s="85"/>
      <c r="E9" s="86"/>
      <c r="F9" s="75"/>
      <c r="G9" s="87" t="s">
        <v>615</v>
      </c>
      <c r="H9" s="78" t="s">
        <v>616</v>
      </c>
      <c r="I9" s="88" t="s">
        <v>617</v>
      </c>
    </row>
    <row r="10">
      <c r="A10" s="81" t="s">
        <v>120</v>
      </c>
      <c r="B10" s="89" t="s">
        <v>398</v>
      </c>
      <c r="C10" s="90">
        <v>100.0</v>
      </c>
      <c r="D10" s="91"/>
      <c r="E10" s="86"/>
      <c r="F10" s="75"/>
      <c r="G10" s="87" t="s">
        <v>618</v>
      </c>
      <c r="H10" s="78" t="s">
        <v>619</v>
      </c>
      <c r="I10" s="92" t="s">
        <v>620</v>
      </c>
    </row>
    <row r="11">
      <c r="A11" s="81" t="s">
        <v>120</v>
      </c>
      <c r="B11" s="83" t="s">
        <v>404</v>
      </c>
      <c r="C11" s="84">
        <v>50.0</v>
      </c>
      <c r="D11" s="84">
        <v>50.0</v>
      </c>
      <c r="E11" s="86"/>
      <c r="F11" s="75"/>
      <c r="G11" s="78" t="s">
        <v>621</v>
      </c>
      <c r="H11" s="78" t="s">
        <v>622</v>
      </c>
      <c r="I11" s="93" t="s">
        <v>623</v>
      </c>
    </row>
    <row r="12">
      <c r="A12" s="94" t="s">
        <v>116</v>
      </c>
      <c r="B12" s="95" t="s">
        <v>418</v>
      </c>
      <c r="C12" s="84">
        <v>50.0</v>
      </c>
      <c r="D12" s="85"/>
      <c r="E12" s="86"/>
      <c r="F12" s="75"/>
      <c r="G12" s="75"/>
      <c r="H12" s="75"/>
      <c r="I12" s="75"/>
    </row>
    <row r="13">
      <c r="A13" s="94" t="s">
        <v>116</v>
      </c>
      <c r="B13" s="96" t="s">
        <v>424</v>
      </c>
      <c r="C13" s="90">
        <v>100.0</v>
      </c>
      <c r="D13" s="90">
        <v>100.0</v>
      </c>
      <c r="E13" s="86"/>
      <c r="F13" s="75"/>
      <c r="G13" s="75"/>
      <c r="H13" s="75"/>
      <c r="I13" s="75"/>
    </row>
    <row r="14">
      <c r="A14" s="94" t="s">
        <v>116</v>
      </c>
      <c r="B14" s="83" t="s">
        <v>430</v>
      </c>
      <c r="C14" s="84">
        <v>50.0</v>
      </c>
      <c r="D14" s="85"/>
      <c r="E14" s="86"/>
      <c r="F14" s="75"/>
      <c r="G14" s="75"/>
      <c r="H14" s="75"/>
      <c r="I14" s="75"/>
    </row>
    <row r="15">
      <c r="A15" s="81" t="s">
        <v>441</v>
      </c>
      <c r="B15" s="96" t="s">
        <v>446</v>
      </c>
      <c r="C15" s="90">
        <v>100.0</v>
      </c>
      <c r="D15" s="89">
        <v>100.0</v>
      </c>
      <c r="E15" s="86"/>
      <c r="F15" s="75"/>
      <c r="G15" s="75"/>
      <c r="H15" s="75"/>
      <c r="I15" s="75"/>
    </row>
    <row r="16">
      <c r="A16" s="81" t="s">
        <v>441</v>
      </c>
      <c r="B16" s="83" t="s">
        <v>454</v>
      </c>
      <c r="C16" s="84">
        <v>50.0</v>
      </c>
      <c r="D16" s="84"/>
      <c r="E16" s="86"/>
      <c r="F16" s="75"/>
      <c r="G16" s="75"/>
      <c r="H16" s="75"/>
      <c r="I16" s="75"/>
    </row>
    <row r="17">
      <c r="A17" s="81" t="s">
        <v>118</v>
      </c>
      <c r="B17" s="89" t="s">
        <v>469</v>
      </c>
      <c r="C17" s="90">
        <v>100.0</v>
      </c>
      <c r="D17" s="91"/>
      <c r="E17" s="86"/>
      <c r="F17" s="75"/>
      <c r="G17" s="75"/>
      <c r="H17" s="75"/>
      <c r="I17" s="75"/>
    </row>
    <row r="18">
      <c r="A18" s="81" t="s">
        <v>118</v>
      </c>
      <c r="B18" s="83" t="s">
        <v>475</v>
      </c>
      <c r="C18" s="84">
        <v>50.0</v>
      </c>
      <c r="D18" s="84">
        <v>50.0</v>
      </c>
      <c r="E18" s="86"/>
      <c r="F18" s="75"/>
      <c r="G18" s="75"/>
      <c r="H18" s="75"/>
      <c r="I18" s="75"/>
    </row>
    <row r="19">
      <c r="A19" s="81" t="s">
        <v>118</v>
      </c>
      <c r="B19" s="100" t="s">
        <v>481</v>
      </c>
      <c r="C19" s="101">
        <v>0.0</v>
      </c>
      <c r="D19" s="103"/>
      <c r="E19" s="86"/>
      <c r="F19" s="75"/>
      <c r="G19" s="75"/>
      <c r="H19" s="75"/>
      <c r="I19" s="75"/>
    </row>
    <row r="20">
      <c r="A20" s="105" t="s">
        <v>633</v>
      </c>
      <c r="B20" s="83" t="s">
        <v>418</v>
      </c>
      <c r="C20" s="84">
        <v>50.0</v>
      </c>
      <c r="D20" s="84"/>
      <c r="E20" s="86"/>
      <c r="F20" s="75"/>
      <c r="G20" s="75"/>
      <c r="H20" s="75"/>
      <c r="I20" s="75"/>
    </row>
    <row r="21">
      <c r="A21" s="31" t="s">
        <v>633</v>
      </c>
      <c r="B21" s="89" t="s">
        <v>640</v>
      </c>
      <c r="C21" s="90">
        <v>100.0</v>
      </c>
      <c r="D21" s="89">
        <v>100.0</v>
      </c>
      <c r="E21" s="86"/>
      <c r="F21" s="75"/>
      <c r="G21" s="75"/>
      <c r="H21" s="75"/>
      <c r="I21" s="75"/>
    </row>
    <row r="22">
      <c r="E22" s="86"/>
      <c r="F22" s="75"/>
      <c r="G22" s="75"/>
      <c r="H22" s="75"/>
      <c r="I22" s="75"/>
    </row>
    <row r="23">
      <c r="E23" s="86"/>
      <c r="F23" s="75"/>
      <c r="G23" s="75"/>
      <c r="H23" s="75"/>
      <c r="I23" s="75"/>
    </row>
    <row r="24">
      <c r="E24" s="86"/>
      <c r="F24" s="75"/>
      <c r="G24" s="75"/>
      <c r="H24" s="75"/>
      <c r="I24" s="75"/>
    </row>
    <row r="25">
      <c r="E25" s="86"/>
      <c r="F25" s="75"/>
      <c r="G25" s="75"/>
      <c r="H25" s="75"/>
      <c r="I25" s="75"/>
    </row>
    <row r="26">
      <c r="E26" s="86"/>
      <c r="F26" s="75"/>
      <c r="G26" s="75"/>
      <c r="H26" s="75"/>
      <c r="I26" s="75"/>
    </row>
    <row r="27">
      <c r="E27" s="86"/>
      <c r="F27" s="75"/>
      <c r="G27" s="75"/>
      <c r="H27" s="75"/>
      <c r="I27" s="75"/>
    </row>
    <row r="28">
      <c r="E28" s="86"/>
      <c r="F28" s="75"/>
      <c r="G28" s="75"/>
      <c r="H28" s="75"/>
      <c r="I28" s="75"/>
    </row>
    <row r="29">
      <c r="E29" s="86"/>
      <c r="F29" s="75"/>
      <c r="G29" s="75"/>
      <c r="H29" s="75"/>
      <c r="I29" s="75"/>
    </row>
    <row r="30">
      <c r="E30" s="86"/>
      <c r="F30" s="75"/>
      <c r="G30" s="75"/>
      <c r="H30" s="75"/>
      <c r="I30" s="75"/>
    </row>
    <row r="31">
      <c r="E31" s="86"/>
      <c r="F31" s="75"/>
      <c r="G31" s="75"/>
      <c r="H31" s="75"/>
      <c r="I31" s="75"/>
    </row>
  </sheetData>
  <hyperlinks>
    <hyperlink r:id="rId1" ref="B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26.88"/>
  </cols>
  <sheetData>
    <row r="1">
      <c r="A1" s="97"/>
      <c r="B1" s="98" t="s">
        <v>624</v>
      </c>
      <c r="C1" s="98" t="s">
        <v>626</v>
      </c>
      <c r="D1" s="98" t="s">
        <v>627</v>
      </c>
      <c r="E1" s="99" t="s">
        <v>628</v>
      </c>
      <c r="F1" s="98" t="s">
        <v>629</v>
      </c>
      <c r="G1" s="98" t="s">
        <v>630</v>
      </c>
      <c r="H1" s="102" t="s">
        <v>631</v>
      </c>
      <c r="I1" s="104" t="s">
        <v>632</v>
      </c>
      <c r="J1" s="98" t="s">
        <v>634</v>
      </c>
      <c r="K1" s="98" t="s">
        <v>635</v>
      </c>
      <c r="L1" s="98" t="s">
        <v>636</v>
      </c>
      <c r="M1" s="98" t="s">
        <v>637</v>
      </c>
      <c r="N1" s="98" t="s">
        <v>638</v>
      </c>
      <c r="O1" s="106" t="s">
        <v>639</v>
      </c>
      <c r="P1" s="106" t="s">
        <v>641</v>
      </c>
      <c r="Q1" s="106" t="s">
        <v>642</v>
      </c>
      <c r="R1" s="107" t="s">
        <v>643</v>
      </c>
      <c r="S1" s="108" t="s">
        <v>644</v>
      </c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</row>
    <row r="2">
      <c r="A2" s="109"/>
      <c r="B2" s="110"/>
      <c r="C2" s="110"/>
      <c r="D2" s="111" t="s">
        <v>645</v>
      </c>
      <c r="E2" s="110"/>
      <c r="F2" s="110"/>
      <c r="G2" s="110"/>
      <c r="H2" s="112" t="s">
        <v>646</v>
      </c>
      <c r="I2" s="113" t="s">
        <v>647</v>
      </c>
      <c r="J2" s="111" t="s">
        <v>648</v>
      </c>
      <c r="K2" s="111" t="s">
        <v>649</v>
      </c>
      <c r="L2" s="114">
        <v>40.0</v>
      </c>
      <c r="M2" s="114">
        <v>100.0</v>
      </c>
      <c r="N2" s="115"/>
      <c r="O2" s="116">
        <f t="shared" ref="O2:O7" si="1">N2/M2</f>
        <v>0</v>
      </c>
      <c r="P2" s="117">
        <f t="shared" ref="P2:P7" si="2">IFERROR(L2*MIN(O2,1),"")</f>
        <v>0</v>
      </c>
      <c r="Q2" s="117" t="str">
        <f>IF(#REF!&gt;=95,"Excellent",IF(#REF!&gt;=80,"Acceptable",IF(#REF!&gt;=60,"Risk","Critical")))</f>
        <v>#REF!</v>
      </c>
      <c r="R2" s="110"/>
      <c r="S2" s="110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</row>
    <row r="3">
      <c r="A3" s="109"/>
      <c r="B3" s="110"/>
      <c r="C3" s="110"/>
      <c r="D3" s="111" t="s">
        <v>645</v>
      </c>
      <c r="E3" s="110"/>
      <c r="F3" s="110"/>
      <c r="G3" s="110"/>
      <c r="H3" s="112" t="s">
        <v>650</v>
      </c>
      <c r="I3" s="113" t="s">
        <v>647</v>
      </c>
      <c r="J3" s="111" t="s">
        <v>648</v>
      </c>
      <c r="K3" s="111" t="s">
        <v>651</v>
      </c>
      <c r="L3" s="114">
        <v>10.0</v>
      </c>
      <c r="M3" s="114">
        <v>5.0</v>
      </c>
      <c r="N3" s="115"/>
      <c r="O3" s="116">
        <f t="shared" si="1"/>
        <v>0</v>
      </c>
      <c r="P3" s="117">
        <f t="shared" si="2"/>
        <v>0</v>
      </c>
      <c r="Q3" s="118"/>
      <c r="R3" s="110"/>
      <c r="S3" s="110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</row>
    <row r="4">
      <c r="A4" s="109"/>
      <c r="B4" s="110"/>
      <c r="C4" s="110"/>
      <c r="D4" s="111" t="s">
        <v>645</v>
      </c>
      <c r="E4" s="110"/>
      <c r="F4" s="110"/>
      <c r="G4" s="110"/>
      <c r="H4" s="112" t="s">
        <v>652</v>
      </c>
      <c r="I4" s="113" t="s">
        <v>647</v>
      </c>
      <c r="J4" s="111" t="s">
        <v>648</v>
      </c>
      <c r="K4" s="111" t="s">
        <v>651</v>
      </c>
      <c r="L4" s="114">
        <v>10.0</v>
      </c>
      <c r="M4" s="114">
        <v>2.0</v>
      </c>
      <c r="N4" s="115"/>
      <c r="O4" s="116">
        <f t="shared" si="1"/>
        <v>0</v>
      </c>
      <c r="P4" s="117">
        <f t="shared" si="2"/>
        <v>0</v>
      </c>
      <c r="Q4" s="118"/>
      <c r="R4" s="110"/>
      <c r="S4" s="110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</row>
    <row r="5">
      <c r="A5" s="109"/>
      <c r="B5" s="110"/>
      <c r="C5" s="110"/>
      <c r="D5" s="111" t="s">
        <v>645</v>
      </c>
      <c r="E5" s="110"/>
      <c r="F5" s="110"/>
      <c r="G5" s="110"/>
      <c r="H5" s="120" t="s">
        <v>664</v>
      </c>
      <c r="I5" s="113" t="s">
        <v>647</v>
      </c>
      <c r="J5" s="111" t="s">
        <v>648</v>
      </c>
      <c r="K5" s="111" t="s">
        <v>651</v>
      </c>
      <c r="L5" s="114">
        <v>3.0</v>
      </c>
      <c r="M5" s="114">
        <v>1.0</v>
      </c>
      <c r="N5" s="115"/>
      <c r="O5" s="116">
        <f t="shared" si="1"/>
        <v>0</v>
      </c>
      <c r="P5" s="117">
        <f t="shared" si="2"/>
        <v>0</v>
      </c>
      <c r="Q5" s="118"/>
      <c r="R5" s="110"/>
      <c r="S5" s="110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</row>
    <row r="6">
      <c r="A6" s="109"/>
      <c r="B6" s="110"/>
      <c r="C6" s="110"/>
      <c r="D6" s="111" t="s">
        <v>645</v>
      </c>
      <c r="E6" s="110"/>
      <c r="F6" s="110"/>
      <c r="G6" s="110"/>
      <c r="H6" s="124" t="s">
        <v>672</v>
      </c>
      <c r="I6" s="113" t="s">
        <v>647</v>
      </c>
      <c r="J6" s="111" t="s">
        <v>648</v>
      </c>
      <c r="K6" s="111" t="s">
        <v>651</v>
      </c>
      <c r="L6" s="114">
        <v>2.0</v>
      </c>
      <c r="M6" s="114">
        <v>1.0</v>
      </c>
      <c r="N6" s="115"/>
      <c r="O6" s="116">
        <f t="shared" si="1"/>
        <v>0</v>
      </c>
      <c r="P6" s="117">
        <f t="shared" si="2"/>
        <v>0</v>
      </c>
      <c r="Q6" s="118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</row>
    <row r="7">
      <c r="A7" s="109"/>
      <c r="B7" s="110"/>
      <c r="C7" s="110"/>
      <c r="D7" s="111" t="s">
        <v>645</v>
      </c>
      <c r="E7" s="110"/>
      <c r="F7" s="110"/>
      <c r="G7" s="110"/>
      <c r="H7" s="126" t="s">
        <v>674</v>
      </c>
      <c r="I7" s="113" t="s">
        <v>647</v>
      </c>
      <c r="J7" s="111" t="s">
        <v>648</v>
      </c>
      <c r="K7" s="111" t="s">
        <v>651</v>
      </c>
      <c r="L7" s="114">
        <v>35.0</v>
      </c>
      <c r="M7" s="114">
        <v>1.0</v>
      </c>
      <c r="N7" s="115"/>
      <c r="O7" s="116">
        <f t="shared" si="1"/>
        <v>0</v>
      </c>
      <c r="P7" s="117">
        <f t="shared" si="2"/>
        <v>0</v>
      </c>
      <c r="Q7" s="118"/>
      <c r="R7" s="110"/>
      <c r="S7" s="110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</row>
    <row r="8">
      <c r="A8" s="109"/>
      <c r="B8" s="110"/>
      <c r="C8" s="110"/>
      <c r="D8" s="110"/>
      <c r="E8" s="110"/>
      <c r="F8" s="110"/>
      <c r="G8" s="110"/>
      <c r="H8" s="127"/>
      <c r="I8" s="128"/>
      <c r="J8" s="110"/>
      <c r="K8" s="110"/>
      <c r="L8" s="127"/>
      <c r="M8" s="127"/>
      <c r="N8" s="110"/>
      <c r="O8" s="115"/>
      <c r="P8" s="118"/>
      <c r="Q8" s="118"/>
      <c r="R8" s="110"/>
      <c r="S8" s="110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</row>
    <row r="9">
      <c r="A9" s="109"/>
      <c r="B9" s="110"/>
      <c r="C9" s="110"/>
      <c r="D9" s="111" t="s">
        <v>675</v>
      </c>
      <c r="E9" s="110"/>
      <c r="F9" s="110"/>
      <c r="G9" s="110"/>
      <c r="H9" s="129" t="s">
        <v>676</v>
      </c>
      <c r="I9" s="113" t="s">
        <v>647</v>
      </c>
      <c r="J9" s="111" t="s">
        <v>648</v>
      </c>
      <c r="K9" s="111" t="s">
        <v>651</v>
      </c>
      <c r="L9" s="130">
        <v>50.0</v>
      </c>
      <c r="M9" s="130">
        <v>1.0</v>
      </c>
      <c r="N9" s="110"/>
      <c r="O9" s="116">
        <f t="shared" ref="O9:O14" si="3">N9/M9</f>
        <v>0</v>
      </c>
      <c r="P9" s="117">
        <f t="shared" ref="P9:P14" si="4">IFERROR(L9*MIN(O9,1),"")</f>
        <v>0</v>
      </c>
      <c r="Q9" s="118"/>
      <c r="R9" s="110"/>
      <c r="S9" s="110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</row>
    <row r="10">
      <c r="A10" s="109"/>
      <c r="B10" s="110"/>
      <c r="C10" s="110"/>
      <c r="D10" s="111" t="s">
        <v>675</v>
      </c>
      <c r="E10" s="110"/>
      <c r="F10" s="110"/>
      <c r="G10" s="110"/>
      <c r="H10" s="129" t="s">
        <v>681</v>
      </c>
      <c r="I10" s="113" t="s">
        <v>647</v>
      </c>
      <c r="J10" s="111" t="s">
        <v>648</v>
      </c>
      <c r="K10" s="111" t="s">
        <v>651</v>
      </c>
      <c r="L10" s="130">
        <v>5.0</v>
      </c>
      <c r="M10" s="130">
        <v>20.0</v>
      </c>
      <c r="N10" s="110"/>
      <c r="O10" s="116">
        <f t="shared" si="3"/>
        <v>0</v>
      </c>
      <c r="P10" s="117">
        <f t="shared" si="4"/>
        <v>0</v>
      </c>
      <c r="Q10" s="118"/>
      <c r="R10" s="110"/>
      <c r="S10" s="110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</row>
    <row r="11">
      <c r="A11" s="109"/>
      <c r="B11" s="110"/>
      <c r="C11" s="110"/>
      <c r="D11" s="111" t="s">
        <v>675</v>
      </c>
      <c r="E11" s="110"/>
      <c r="F11" s="110"/>
      <c r="G11" s="110"/>
      <c r="H11" s="129" t="s">
        <v>646</v>
      </c>
      <c r="I11" s="113" t="s">
        <v>647</v>
      </c>
      <c r="J11" s="111" t="s">
        <v>648</v>
      </c>
      <c r="K11" s="111" t="s">
        <v>651</v>
      </c>
      <c r="L11" s="130">
        <v>30.0</v>
      </c>
      <c r="M11" s="130">
        <v>80.0</v>
      </c>
      <c r="N11" s="110"/>
      <c r="O11" s="116">
        <f t="shared" si="3"/>
        <v>0</v>
      </c>
      <c r="P11" s="117">
        <f t="shared" si="4"/>
        <v>0</v>
      </c>
      <c r="Q11" s="118"/>
      <c r="R11" s="110"/>
      <c r="S11" s="110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</row>
    <row r="12">
      <c r="A12" s="109"/>
      <c r="B12" s="110"/>
      <c r="C12" s="110"/>
      <c r="D12" s="111" t="s">
        <v>675</v>
      </c>
      <c r="E12" s="110"/>
      <c r="F12" s="110"/>
      <c r="G12" s="110"/>
      <c r="H12" s="129" t="s">
        <v>683</v>
      </c>
      <c r="I12" s="113" t="s">
        <v>647</v>
      </c>
      <c r="J12" s="111" t="s">
        <v>648</v>
      </c>
      <c r="K12" s="111" t="s">
        <v>651</v>
      </c>
      <c r="L12" s="130">
        <v>5.0</v>
      </c>
      <c r="M12" s="130">
        <v>1.0</v>
      </c>
      <c r="N12" s="110"/>
      <c r="O12" s="116">
        <f t="shared" si="3"/>
        <v>0</v>
      </c>
      <c r="P12" s="117">
        <f t="shared" si="4"/>
        <v>0</v>
      </c>
      <c r="Q12" s="118"/>
      <c r="R12" s="110"/>
      <c r="S12" s="110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</row>
    <row r="13">
      <c r="A13" s="109"/>
      <c r="B13" s="110"/>
      <c r="C13" s="110"/>
      <c r="D13" s="111" t="s">
        <v>675</v>
      </c>
      <c r="E13" s="110"/>
      <c r="F13" s="110"/>
      <c r="G13" s="110"/>
      <c r="H13" s="129" t="s">
        <v>650</v>
      </c>
      <c r="I13" s="113" t="s">
        <v>647</v>
      </c>
      <c r="J13" s="111" t="s">
        <v>648</v>
      </c>
      <c r="K13" s="111" t="s">
        <v>651</v>
      </c>
      <c r="L13" s="130">
        <v>5.0</v>
      </c>
      <c r="M13" s="130">
        <v>2.0</v>
      </c>
      <c r="N13" s="110"/>
      <c r="O13" s="116">
        <f t="shared" si="3"/>
        <v>0</v>
      </c>
      <c r="P13" s="117">
        <f t="shared" si="4"/>
        <v>0</v>
      </c>
      <c r="Q13" s="118"/>
      <c r="R13" s="110"/>
      <c r="S13" s="110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</row>
    <row r="14">
      <c r="A14" s="109"/>
      <c r="B14" s="110"/>
      <c r="C14" s="110"/>
      <c r="D14" s="111" t="s">
        <v>675</v>
      </c>
      <c r="E14" s="110"/>
      <c r="F14" s="110"/>
      <c r="G14" s="110"/>
      <c r="H14" s="133" t="s">
        <v>684</v>
      </c>
      <c r="I14" s="113" t="s">
        <v>647</v>
      </c>
      <c r="J14" s="111" t="s">
        <v>648</v>
      </c>
      <c r="K14" s="111" t="s">
        <v>651</v>
      </c>
      <c r="L14" s="130">
        <v>5.0</v>
      </c>
      <c r="M14" s="130">
        <v>1.0</v>
      </c>
      <c r="N14" s="110"/>
      <c r="O14" s="116">
        <f t="shared" si="3"/>
        <v>0</v>
      </c>
      <c r="P14" s="117">
        <f t="shared" si="4"/>
        <v>0</v>
      </c>
      <c r="Q14" s="118"/>
      <c r="R14" s="110"/>
      <c r="S14" s="110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</row>
    <row r="15">
      <c r="A15" s="109"/>
      <c r="B15" s="110"/>
      <c r="C15" s="110"/>
      <c r="D15" s="110"/>
      <c r="E15" s="110"/>
      <c r="F15" s="110"/>
      <c r="G15" s="110"/>
      <c r="H15" s="127"/>
      <c r="I15" s="128"/>
      <c r="J15" s="110"/>
      <c r="K15" s="110"/>
      <c r="L15" s="127"/>
      <c r="M15" s="127"/>
      <c r="N15" s="110"/>
      <c r="O15" s="115"/>
      <c r="P15" s="118"/>
      <c r="Q15" s="118"/>
      <c r="R15" s="110"/>
      <c r="S15" s="110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</row>
    <row r="16">
      <c r="A16" s="109"/>
      <c r="B16" s="110"/>
      <c r="C16" s="110"/>
      <c r="D16" s="111" t="s">
        <v>685</v>
      </c>
      <c r="E16" s="110"/>
      <c r="F16" s="110"/>
      <c r="G16" s="110"/>
      <c r="H16" s="129" t="s">
        <v>676</v>
      </c>
      <c r="I16" s="113" t="s">
        <v>647</v>
      </c>
      <c r="J16" s="111" t="s">
        <v>648</v>
      </c>
      <c r="K16" s="111" t="s">
        <v>651</v>
      </c>
      <c r="L16" s="130">
        <v>60.0</v>
      </c>
      <c r="M16" s="130">
        <v>1.0</v>
      </c>
      <c r="N16" s="110"/>
      <c r="O16" s="116">
        <f t="shared" ref="O16:O21" si="5">N16/M16</f>
        <v>0</v>
      </c>
      <c r="P16" s="117">
        <f t="shared" ref="P16:P21" si="6">IFERROR(L16*MIN(O16,1),"")</f>
        <v>0</v>
      </c>
      <c r="Q16" s="118"/>
      <c r="R16" s="110"/>
      <c r="S16" s="110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</row>
    <row r="17">
      <c r="A17" s="109"/>
      <c r="B17" s="110"/>
      <c r="C17" s="110"/>
      <c r="D17" s="111" t="s">
        <v>685</v>
      </c>
      <c r="E17" s="110"/>
      <c r="F17" s="110"/>
      <c r="G17" s="110"/>
      <c r="H17" s="129" t="s">
        <v>686</v>
      </c>
      <c r="I17" s="113" t="s">
        <v>647</v>
      </c>
      <c r="J17" s="111" t="s">
        <v>648</v>
      </c>
      <c r="K17" s="111" t="s">
        <v>651</v>
      </c>
      <c r="L17" s="130">
        <v>5.0</v>
      </c>
      <c r="M17" s="130">
        <v>40.0</v>
      </c>
      <c r="N17" s="110"/>
      <c r="O17" s="116">
        <f t="shared" si="5"/>
        <v>0</v>
      </c>
      <c r="P17" s="117">
        <f t="shared" si="6"/>
        <v>0</v>
      </c>
      <c r="Q17" s="118"/>
      <c r="R17" s="110"/>
      <c r="S17" s="110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</row>
    <row r="18">
      <c r="A18" s="109"/>
      <c r="B18" s="110"/>
      <c r="C18" s="110"/>
      <c r="D18" s="111" t="s">
        <v>685</v>
      </c>
      <c r="E18" s="110"/>
      <c r="F18" s="110"/>
      <c r="G18" s="110"/>
      <c r="H18" s="129" t="s">
        <v>646</v>
      </c>
      <c r="I18" s="113" t="s">
        <v>647</v>
      </c>
      <c r="J18" s="111" t="s">
        <v>648</v>
      </c>
      <c r="K18" s="111" t="s">
        <v>651</v>
      </c>
      <c r="L18" s="130">
        <v>10.0</v>
      </c>
      <c r="M18" s="130">
        <v>60.0</v>
      </c>
      <c r="N18" s="110"/>
      <c r="O18" s="116">
        <f t="shared" si="5"/>
        <v>0</v>
      </c>
      <c r="P18" s="117">
        <f t="shared" si="6"/>
        <v>0</v>
      </c>
      <c r="Q18" s="118"/>
      <c r="R18" s="110"/>
      <c r="S18" s="110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</row>
    <row r="19">
      <c r="A19" s="109"/>
      <c r="B19" s="110"/>
      <c r="C19" s="110"/>
      <c r="D19" s="111" t="s">
        <v>685</v>
      </c>
      <c r="E19" s="110"/>
      <c r="F19" s="110"/>
      <c r="G19" s="110"/>
      <c r="H19" s="129" t="s">
        <v>652</v>
      </c>
      <c r="I19" s="113" t="s">
        <v>647</v>
      </c>
      <c r="J19" s="111" t="s">
        <v>648</v>
      </c>
      <c r="K19" s="111" t="s">
        <v>651</v>
      </c>
      <c r="L19" s="130">
        <v>5.0</v>
      </c>
      <c r="M19" s="130">
        <v>2.0</v>
      </c>
      <c r="N19" s="110"/>
      <c r="O19" s="116">
        <f t="shared" si="5"/>
        <v>0</v>
      </c>
      <c r="P19" s="117">
        <f t="shared" si="6"/>
        <v>0</v>
      </c>
      <c r="Q19" s="118"/>
      <c r="R19" s="110"/>
      <c r="S19" s="110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</row>
    <row r="20">
      <c r="A20" s="109"/>
      <c r="B20" s="110"/>
      <c r="C20" s="110"/>
      <c r="D20" s="111" t="s">
        <v>685</v>
      </c>
      <c r="E20" s="110"/>
      <c r="F20" s="110"/>
      <c r="G20" s="110"/>
      <c r="H20" s="129" t="s">
        <v>683</v>
      </c>
      <c r="I20" s="113" t="s">
        <v>647</v>
      </c>
      <c r="J20" s="111" t="s">
        <v>648</v>
      </c>
      <c r="K20" s="111" t="s">
        <v>651</v>
      </c>
      <c r="L20" s="130">
        <v>10.0</v>
      </c>
      <c r="M20" s="130">
        <v>2.0</v>
      </c>
      <c r="N20" s="110"/>
      <c r="O20" s="116">
        <f t="shared" si="5"/>
        <v>0</v>
      </c>
      <c r="P20" s="117">
        <f t="shared" si="6"/>
        <v>0</v>
      </c>
      <c r="Q20" s="118"/>
      <c r="R20" s="110"/>
      <c r="S20" s="110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</row>
    <row r="21">
      <c r="A21" s="109"/>
      <c r="B21" s="110"/>
      <c r="C21" s="110"/>
      <c r="D21" s="111" t="s">
        <v>685</v>
      </c>
      <c r="E21" s="110"/>
      <c r="F21" s="110"/>
      <c r="G21" s="110"/>
      <c r="H21" s="129" t="s">
        <v>650</v>
      </c>
      <c r="I21" s="113" t="s">
        <v>647</v>
      </c>
      <c r="J21" s="111" t="s">
        <v>648</v>
      </c>
      <c r="K21" s="111" t="s">
        <v>651</v>
      </c>
      <c r="L21" s="130">
        <v>10.0</v>
      </c>
      <c r="M21" s="130">
        <v>4.0</v>
      </c>
      <c r="N21" s="110"/>
      <c r="O21" s="116">
        <f t="shared" si="5"/>
        <v>0</v>
      </c>
      <c r="P21" s="117">
        <f t="shared" si="6"/>
        <v>0</v>
      </c>
      <c r="Q21" s="118"/>
      <c r="R21" s="110"/>
      <c r="S21" s="110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</row>
    <row r="22">
      <c r="A22" s="109"/>
      <c r="B22" s="110"/>
      <c r="C22" s="110"/>
      <c r="D22" s="110"/>
      <c r="E22" s="110"/>
      <c r="F22" s="110"/>
      <c r="G22" s="110"/>
      <c r="H22" s="127"/>
      <c r="I22" s="128"/>
      <c r="J22" s="110"/>
      <c r="K22" s="110"/>
      <c r="L22" s="127"/>
      <c r="M22" s="127"/>
      <c r="N22" s="110"/>
      <c r="O22" s="115"/>
      <c r="P22" s="118"/>
      <c r="Q22" s="118"/>
      <c r="R22" s="110"/>
      <c r="S22" s="110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</row>
    <row r="23">
      <c r="A23" s="109"/>
      <c r="B23" s="110"/>
      <c r="C23" s="110"/>
      <c r="D23" s="111" t="s">
        <v>743</v>
      </c>
      <c r="E23" s="110"/>
      <c r="F23" s="110"/>
      <c r="G23" s="110"/>
      <c r="H23" s="129" t="s">
        <v>676</v>
      </c>
      <c r="I23" s="113" t="s">
        <v>647</v>
      </c>
      <c r="J23" s="111" t="s">
        <v>648</v>
      </c>
      <c r="K23" s="111" t="s">
        <v>651</v>
      </c>
      <c r="L23" s="130">
        <v>60.0</v>
      </c>
      <c r="M23" s="130">
        <v>1.0</v>
      </c>
      <c r="N23" s="110"/>
      <c r="O23" s="116">
        <f t="shared" ref="O23:O29" si="7">N23/M23</f>
        <v>0</v>
      </c>
      <c r="P23" s="117">
        <f t="shared" ref="P23:P29" si="8">IFERROR(L23*MIN(O23,1),"")</f>
        <v>0</v>
      </c>
      <c r="Q23" s="118"/>
      <c r="R23" s="110"/>
      <c r="S23" s="110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</row>
    <row r="24">
      <c r="A24" s="109"/>
      <c r="B24" s="110"/>
      <c r="C24" s="110"/>
      <c r="D24" s="111" t="s">
        <v>743</v>
      </c>
      <c r="E24" s="110"/>
      <c r="F24" s="110"/>
      <c r="G24" s="110"/>
      <c r="H24" s="129" t="s">
        <v>686</v>
      </c>
      <c r="I24" s="113" t="s">
        <v>647</v>
      </c>
      <c r="J24" s="111" t="s">
        <v>648</v>
      </c>
      <c r="K24" s="111" t="s">
        <v>651</v>
      </c>
      <c r="L24" s="130">
        <v>5.0</v>
      </c>
      <c r="M24" s="130">
        <v>40.0</v>
      </c>
      <c r="N24" s="110"/>
      <c r="O24" s="116">
        <f t="shared" si="7"/>
        <v>0</v>
      </c>
      <c r="P24" s="117">
        <f t="shared" si="8"/>
        <v>0</v>
      </c>
      <c r="Q24" s="118"/>
      <c r="R24" s="110"/>
      <c r="S24" s="110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</row>
    <row r="25">
      <c r="A25" s="109"/>
      <c r="B25" s="110"/>
      <c r="C25" s="110"/>
      <c r="D25" s="111" t="s">
        <v>743</v>
      </c>
      <c r="E25" s="110"/>
      <c r="F25" s="110"/>
      <c r="G25" s="110"/>
      <c r="H25" s="129" t="s">
        <v>646</v>
      </c>
      <c r="I25" s="113" t="s">
        <v>647</v>
      </c>
      <c r="J25" s="111" t="s">
        <v>648</v>
      </c>
      <c r="K25" s="111" t="s">
        <v>651</v>
      </c>
      <c r="L25" s="130">
        <v>10.0</v>
      </c>
      <c r="M25" s="130">
        <v>60.0</v>
      </c>
      <c r="N25" s="110"/>
      <c r="O25" s="116">
        <f t="shared" si="7"/>
        <v>0</v>
      </c>
      <c r="P25" s="117">
        <f t="shared" si="8"/>
        <v>0</v>
      </c>
      <c r="Q25" s="118"/>
      <c r="R25" s="110"/>
      <c r="S25" s="110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</row>
    <row r="26">
      <c r="A26" s="109"/>
      <c r="B26" s="110"/>
      <c r="C26" s="110"/>
      <c r="D26" s="111" t="s">
        <v>743</v>
      </c>
      <c r="E26" s="110"/>
      <c r="F26" s="110"/>
      <c r="G26" s="110"/>
      <c r="H26" s="129" t="s">
        <v>683</v>
      </c>
      <c r="I26" s="113" t="s">
        <v>647</v>
      </c>
      <c r="J26" s="111" t="s">
        <v>648</v>
      </c>
      <c r="K26" s="111" t="s">
        <v>651</v>
      </c>
      <c r="L26" s="130">
        <v>10.0</v>
      </c>
      <c r="M26" s="130">
        <v>2.0</v>
      </c>
      <c r="N26" s="110"/>
      <c r="O26" s="116">
        <f t="shared" si="7"/>
        <v>0</v>
      </c>
      <c r="P26" s="117">
        <f t="shared" si="8"/>
        <v>0</v>
      </c>
      <c r="Q26" s="118"/>
      <c r="R26" s="110"/>
      <c r="S26" s="110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</row>
    <row r="27">
      <c r="A27" s="109"/>
      <c r="B27" s="110"/>
      <c r="C27" s="110"/>
      <c r="D27" s="111" t="s">
        <v>743</v>
      </c>
      <c r="E27" s="110"/>
      <c r="F27" s="110"/>
      <c r="G27" s="110"/>
      <c r="H27" s="129" t="s">
        <v>650</v>
      </c>
      <c r="I27" s="113" t="s">
        <v>647</v>
      </c>
      <c r="J27" s="111" t="s">
        <v>648</v>
      </c>
      <c r="K27" s="111" t="s">
        <v>651</v>
      </c>
      <c r="L27" s="130">
        <v>5.0</v>
      </c>
      <c r="M27" s="130">
        <v>1.0</v>
      </c>
      <c r="N27" s="110"/>
      <c r="O27" s="116">
        <f t="shared" si="7"/>
        <v>0</v>
      </c>
      <c r="P27" s="117">
        <f t="shared" si="8"/>
        <v>0</v>
      </c>
      <c r="Q27" s="118"/>
      <c r="R27" s="110"/>
      <c r="S27" s="110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</row>
    <row r="28">
      <c r="A28" s="109"/>
      <c r="B28" s="110"/>
      <c r="C28" s="110"/>
      <c r="D28" s="111" t="s">
        <v>743</v>
      </c>
      <c r="E28" s="110"/>
      <c r="F28" s="110"/>
      <c r="G28" s="110"/>
      <c r="H28" s="129" t="s">
        <v>652</v>
      </c>
      <c r="I28" s="113" t="s">
        <v>647</v>
      </c>
      <c r="J28" s="111" t="s">
        <v>648</v>
      </c>
      <c r="K28" s="111" t="s">
        <v>651</v>
      </c>
      <c r="L28" s="130">
        <v>5.0</v>
      </c>
      <c r="M28" s="130">
        <v>2.0</v>
      </c>
      <c r="N28" s="110"/>
      <c r="O28" s="116">
        <f t="shared" si="7"/>
        <v>0</v>
      </c>
      <c r="P28" s="117">
        <f t="shared" si="8"/>
        <v>0</v>
      </c>
      <c r="Q28" s="118"/>
      <c r="R28" s="110"/>
      <c r="S28" s="110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</row>
    <row r="29">
      <c r="A29" s="109"/>
      <c r="B29" s="110"/>
      <c r="C29" s="110"/>
      <c r="D29" s="111" t="s">
        <v>743</v>
      </c>
      <c r="E29" s="110"/>
      <c r="F29" s="110"/>
      <c r="G29" s="110"/>
      <c r="H29" s="129" t="s">
        <v>684</v>
      </c>
      <c r="I29" s="113" t="s">
        <v>647</v>
      </c>
      <c r="J29" s="111" t="s">
        <v>648</v>
      </c>
      <c r="K29" s="111" t="s">
        <v>651</v>
      </c>
      <c r="L29" s="130">
        <v>5.0</v>
      </c>
      <c r="M29" s="130">
        <v>1.0</v>
      </c>
      <c r="N29" s="110"/>
      <c r="O29" s="116">
        <f t="shared" si="7"/>
        <v>0</v>
      </c>
      <c r="P29" s="117">
        <f t="shared" si="8"/>
        <v>0</v>
      </c>
      <c r="Q29" s="118"/>
      <c r="R29" s="110"/>
      <c r="S29" s="110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</row>
    <row r="30">
      <c r="A30" s="109"/>
      <c r="B30" s="110"/>
      <c r="C30" s="110"/>
      <c r="D30" s="110"/>
      <c r="E30" s="110"/>
      <c r="F30" s="110"/>
      <c r="G30" s="110"/>
      <c r="H30" s="127"/>
      <c r="I30" s="128"/>
      <c r="J30" s="110"/>
      <c r="K30" s="110"/>
      <c r="L30" s="127"/>
      <c r="M30" s="127"/>
      <c r="N30" s="110"/>
      <c r="O30" s="115"/>
      <c r="P30" s="118"/>
      <c r="Q30" s="118"/>
      <c r="R30" s="110"/>
      <c r="S30" s="110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</row>
    <row r="31">
      <c r="A31" s="109"/>
      <c r="B31" s="110"/>
      <c r="C31" s="110"/>
      <c r="D31" s="111" t="s">
        <v>788</v>
      </c>
      <c r="E31" s="110"/>
      <c r="F31" s="110"/>
      <c r="G31" s="110"/>
      <c r="H31" s="129" t="s">
        <v>676</v>
      </c>
      <c r="I31" s="113" t="s">
        <v>647</v>
      </c>
      <c r="J31" s="111" t="s">
        <v>648</v>
      </c>
      <c r="K31" s="111" t="s">
        <v>651</v>
      </c>
      <c r="L31" s="130">
        <v>60.0</v>
      </c>
      <c r="M31" s="130">
        <v>1.0</v>
      </c>
      <c r="N31" s="110"/>
      <c r="O31" s="116">
        <f t="shared" ref="O31:O36" si="9">N31/M31</f>
        <v>0</v>
      </c>
      <c r="P31" s="117">
        <f t="shared" ref="P31:P36" si="10">IFERROR(L31*MIN(O31,1),"")</f>
        <v>0</v>
      </c>
      <c r="Q31" s="118"/>
      <c r="R31" s="110"/>
      <c r="S31" s="110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</row>
    <row r="32">
      <c r="A32" s="109"/>
      <c r="B32" s="110"/>
      <c r="C32" s="110"/>
      <c r="D32" s="111" t="s">
        <v>788</v>
      </c>
      <c r="E32" s="110"/>
      <c r="F32" s="110"/>
      <c r="G32" s="110"/>
      <c r="H32" s="129" t="s">
        <v>681</v>
      </c>
      <c r="I32" s="113" t="s">
        <v>647</v>
      </c>
      <c r="J32" s="111" t="s">
        <v>648</v>
      </c>
      <c r="K32" s="111" t="s">
        <v>651</v>
      </c>
      <c r="L32" s="130">
        <v>5.0</v>
      </c>
      <c r="M32" s="130">
        <v>40.0</v>
      </c>
      <c r="N32" s="110"/>
      <c r="O32" s="116">
        <f t="shared" si="9"/>
        <v>0</v>
      </c>
      <c r="P32" s="117">
        <f t="shared" si="10"/>
        <v>0</v>
      </c>
      <c r="Q32" s="118"/>
      <c r="R32" s="110"/>
      <c r="S32" s="110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</row>
    <row r="33">
      <c r="A33" s="109"/>
      <c r="B33" s="110"/>
      <c r="C33" s="110"/>
      <c r="D33" s="111" t="s">
        <v>788</v>
      </c>
      <c r="E33" s="110"/>
      <c r="F33" s="110"/>
      <c r="G33" s="110"/>
      <c r="H33" s="129" t="s">
        <v>646</v>
      </c>
      <c r="I33" s="113" t="s">
        <v>647</v>
      </c>
      <c r="J33" s="111" t="s">
        <v>648</v>
      </c>
      <c r="K33" s="111" t="s">
        <v>651</v>
      </c>
      <c r="L33" s="130">
        <v>10.0</v>
      </c>
      <c r="M33" s="130">
        <v>60.0</v>
      </c>
      <c r="N33" s="110"/>
      <c r="O33" s="116">
        <f t="shared" si="9"/>
        <v>0</v>
      </c>
      <c r="P33" s="117">
        <f t="shared" si="10"/>
        <v>0</v>
      </c>
      <c r="Q33" s="118"/>
      <c r="R33" s="110"/>
      <c r="S33" s="110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</row>
    <row r="34">
      <c r="A34" s="109"/>
      <c r="B34" s="110"/>
      <c r="C34" s="110"/>
      <c r="D34" s="111" t="s">
        <v>788</v>
      </c>
      <c r="E34" s="110"/>
      <c r="F34" s="110"/>
      <c r="G34" s="110"/>
      <c r="H34" s="129" t="s">
        <v>683</v>
      </c>
      <c r="I34" s="113" t="s">
        <v>647</v>
      </c>
      <c r="J34" s="111" t="s">
        <v>648</v>
      </c>
      <c r="K34" s="111" t="s">
        <v>651</v>
      </c>
      <c r="L34" s="130">
        <v>15.0</v>
      </c>
      <c r="M34" s="130">
        <v>2.0</v>
      </c>
      <c r="N34" s="110"/>
      <c r="O34" s="116">
        <f t="shared" si="9"/>
        <v>0</v>
      </c>
      <c r="P34" s="117">
        <f t="shared" si="10"/>
        <v>0</v>
      </c>
      <c r="Q34" s="118"/>
      <c r="R34" s="110"/>
      <c r="S34" s="110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</row>
    <row r="35">
      <c r="A35" s="109"/>
      <c r="B35" s="110"/>
      <c r="C35" s="110"/>
      <c r="D35" s="111" t="s">
        <v>788</v>
      </c>
      <c r="E35" s="110"/>
      <c r="F35" s="110"/>
      <c r="G35" s="110"/>
      <c r="H35" s="129" t="s">
        <v>650</v>
      </c>
      <c r="I35" s="113" t="s">
        <v>647</v>
      </c>
      <c r="J35" s="111" t="s">
        <v>648</v>
      </c>
      <c r="K35" s="111" t="s">
        <v>651</v>
      </c>
      <c r="L35" s="130">
        <v>5.0</v>
      </c>
      <c r="M35" s="130">
        <v>2.0</v>
      </c>
      <c r="N35" s="110"/>
      <c r="O35" s="116">
        <f t="shared" si="9"/>
        <v>0</v>
      </c>
      <c r="P35" s="117">
        <f t="shared" si="10"/>
        <v>0</v>
      </c>
      <c r="Q35" s="118"/>
      <c r="R35" s="110"/>
      <c r="S35" s="110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</row>
    <row r="36">
      <c r="A36" s="109"/>
      <c r="B36" s="110"/>
      <c r="C36" s="110"/>
      <c r="D36" s="111" t="s">
        <v>788</v>
      </c>
      <c r="E36" s="110"/>
      <c r="F36" s="110"/>
      <c r="G36" s="110"/>
      <c r="H36" s="129" t="s">
        <v>684</v>
      </c>
      <c r="I36" s="113" t="s">
        <v>647</v>
      </c>
      <c r="J36" s="111" t="s">
        <v>648</v>
      </c>
      <c r="K36" s="111" t="s">
        <v>651</v>
      </c>
      <c r="L36" s="130">
        <v>5.0</v>
      </c>
      <c r="M36" s="130">
        <v>1.0</v>
      </c>
      <c r="N36" s="110"/>
      <c r="O36" s="116">
        <f t="shared" si="9"/>
        <v>0</v>
      </c>
      <c r="P36" s="117">
        <f t="shared" si="10"/>
        <v>0</v>
      </c>
      <c r="Q36" s="118"/>
      <c r="R36" s="110"/>
      <c r="S36" s="110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</row>
    <row r="37">
      <c r="A37" s="109"/>
      <c r="B37" s="109"/>
      <c r="C37" s="109"/>
      <c r="D37" s="109"/>
      <c r="E37" s="109"/>
      <c r="F37" s="109"/>
      <c r="G37" s="109"/>
      <c r="H37" s="109"/>
      <c r="I37" s="163"/>
      <c r="J37" s="109"/>
      <c r="K37" s="109"/>
      <c r="L37" s="109"/>
      <c r="M37" s="109"/>
      <c r="N37" s="109"/>
      <c r="O37" s="164"/>
      <c r="P37" s="165"/>
      <c r="Q37" s="165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</row>
    <row r="38">
      <c r="A38" s="109"/>
      <c r="B38" s="109"/>
      <c r="C38" s="109"/>
      <c r="D38" s="109"/>
      <c r="E38" s="109"/>
      <c r="F38" s="109"/>
      <c r="G38" s="109"/>
      <c r="H38" s="109"/>
      <c r="I38" s="163"/>
      <c r="J38" s="109"/>
      <c r="K38" s="109"/>
      <c r="L38" s="109"/>
      <c r="M38" s="109"/>
      <c r="N38" s="109"/>
      <c r="O38" s="164"/>
      <c r="P38" s="165"/>
      <c r="Q38" s="165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</row>
    <row r="39">
      <c r="A39" s="109"/>
      <c r="B39" s="109"/>
      <c r="C39" s="109"/>
      <c r="D39" s="109"/>
      <c r="E39" s="109"/>
      <c r="F39" s="109"/>
      <c r="G39" s="109"/>
      <c r="H39" s="109"/>
      <c r="I39" s="163"/>
      <c r="J39" s="109"/>
      <c r="K39" s="109"/>
      <c r="L39" s="109"/>
      <c r="M39" s="109"/>
      <c r="N39" s="109"/>
      <c r="O39" s="164"/>
      <c r="P39" s="165"/>
      <c r="Q39" s="165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</row>
    <row r="40">
      <c r="A40" s="109"/>
      <c r="B40" s="109"/>
      <c r="C40" s="109"/>
      <c r="D40" s="109"/>
      <c r="E40" s="109"/>
      <c r="F40" s="109"/>
      <c r="G40" s="109"/>
      <c r="H40" s="109"/>
      <c r="I40" s="163"/>
      <c r="J40" s="109"/>
      <c r="K40" s="109"/>
      <c r="L40" s="109"/>
      <c r="M40" s="109"/>
      <c r="N40" s="109"/>
      <c r="O40" s="164"/>
      <c r="P40" s="165"/>
      <c r="Q40" s="165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</row>
    <row r="41">
      <c r="A41" s="109"/>
      <c r="B41" s="109"/>
      <c r="C41" s="109"/>
      <c r="D41" s="109"/>
      <c r="E41" s="109"/>
      <c r="F41" s="109"/>
      <c r="G41" s="109"/>
      <c r="H41" s="109"/>
      <c r="I41" s="163"/>
      <c r="J41" s="109"/>
      <c r="K41" s="109"/>
      <c r="L41" s="109"/>
      <c r="M41" s="109"/>
      <c r="N41" s="109"/>
      <c r="O41" s="164"/>
      <c r="P41" s="165"/>
      <c r="Q41" s="165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</row>
    <row r="42">
      <c r="A42" s="109"/>
      <c r="B42" s="109"/>
      <c r="C42" s="109"/>
      <c r="D42" s="109"/>
      <c r="E42" s="109"/>
      <c r="F42" s="109"/>
      <c r="G42" s="109"/>
      <c r="H42" s="109"/>
      <c r="I42" s="163"/>
      <c r="J42" s="109"/>
      <c r="K42" s="109"/>
      <c r="L42" s="109"/>
      <c r="M42" s="109"/>
      <c r="N42" s="109"/>
      <c r="O42" s="164"/>
      <c r="P42" s="165"/>
      <c r="Q42" s="165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</row>
    <row r="43">
      <c r="A43" s="109"/>
      <c r="B43" s="109"/>
      <c r="C43" s="109"/>
      <c r="D43" s="109"/>
      <c r="E43" s="109"/>
      <c r="F43" s="109"/>
      <c r="G43" s="109"/>
      <c r="H43" s="109"/>
      <c r="I43" s="163"/>
      <c r="J43" s="109"/>
      <c r="K43" s="109"/>
      <c r="L43" s="109"/>
      <c r="M43" s="109"/>
      <c r="N43" s="109"/>
      <c r="O43" s="164"/>
      <c r="P43" s="165"/>
      <c r="Q43" s="165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</row>
    <row r="44">
      <c r="A44" s="109"/>
      <c r="B44" s="109"/>
      <c r="C44" s="109"/>
      <c r="D44" s="109"/>
      <c r="E44" s="109"/>
      <c r="F44" s="109"/>
      <c r="G44" s="109"/>
      <c r="H44" s="109"/>
      <c r="I44" s="163"/>
      <c r="J44" s="109"/>
      <c r="K44" s="109"/>
      <c r="L44" s="109"/>
      <c r="M44" s="109"/>
      <c r="N44" s="109"/>
      <c r="O44" s="164"/>
      <c r="P44" s="165"/>
      <c r="Q44" s="165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</row>
    <row r="45">
      <c r="A45" s="109"/>
      <c r="B45" s="109"/>
      <c r="C45" s="109"/>
      <c r="D45" s="109"/>
      <c r="E45" s="109"/>
      <c r="F45" s="109"/>
      <c r="G45" s="109"/>
      <c r="H45" s="109"/>
      <c r="I45" s="163"/>
      <c r="J45" s="109"/>
      <c r="K45" s="109"/>
      <c r="L45" s="109"/>
      <c r="M45" s="109"/>
      <c r="N45" s="109"/>
      <c r="O45" s="164"/>
      <c r="P45" s="165"/>
      <c r="Q45" s="165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</row>
    <row r="46">
      <c r="A46" s="109"/>
      <c r="B46" s="109"/>
      <c r="C46" s="109"/>
      <c r="D46" s="109"/>
      <c r="E46" s="109"/>
      <c r="F46" s="109"/>
      <c r="G46" s="109"/>
      <c r="H46" s="109"/>
      <c r="I46" s="163"/>
      <c r="J46" s="109"/>
      <c r="K46" s="109"/>
      <c r="L46" s="109"/>
      <c r="M46" s="109"/>
      <c r="N46" s="109"/>
      <c r="O46" s="164"/>
      <c r="P46" s="165"/>
      <c r="Q46" s="165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</row>
    <row r="47">
      <c r="A47" s="109"/>
      <c r="B47" s="109"/>
      <c r="C47" s="109"/>
      <c r="D47" s="109"/>
      <c r="E47" s="109"/>
      <c r="F47" s="109"/>
      <c r="G47" s="109"/>
      <c r="H47" s="109"/>
      <c r="I47" s="163"/>
      <c r="J47" s="109"/>
      <c r="K47" s="109"/>
      <c r="L47" s="109"/>
      <c r="M47" s="109"/>
      <c r="N47" s="109"/>
      <c r="O47" s="164"/>
      <c r="P47" s="165"/>
      <c r="Q47" s="165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</row>
    <row r="48">
      <c r="A48" s="109"/>
      <c r="B48" s="109"/>
      <c r="C48" s="109"/>
      <c r="D48" s="109"/>
      <c r="E48" s="109"/>
      <c r="F48" s="109"/>
      <c r="G48" s="109"/>
      <c r="H48" s="109"/>
      <c r="I48" s="163"/>
      <c r="J48" s="109"/>
      <c r="K48" s="109"/>
      <c r="L48" s="109"/>
      <c r="M48" s="109"/>
      <c r="N48" s="109"/>
      <c r="O48" s="164"/>
      <c r="P48" s="165"/>
      <c r="Q48" s="165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</row>
    <row r="49">
      <c r="A49" s="109"/>
      <c r="B49" s="109"/>
      <c r="C49" s="109"/>
      <c r="D49" s="109"/>
      <c r="E49" s="109"/>
      <c r="F49" s="109"/>
      <c r="G49" s="109"/>
      <c r="H49" s="109"/>
      <c r="I49" s="163"/>
      <c r="J49" s="109"/>
      <c r="K49" s="109"/>
      <c r="L49" s="109"/>
      <c r="M49" s="109"/>
      <c r="N49" s="109"/>
      <c r="O49" s="164"/>
      <c r="P49" s="165"/>
      <c r="Q49" s="165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</row>
    <row r="50">
      <c r="A50" s="109"/>
      <c r="B50" s="109"/>
      <c r="C50" s="109"/>
      <c r="D50" s="109"/>
      <c r="E50" s="109"/>
      <c r="F50" s="109"/>
      <c r="G50" s="109"/>
      <c r="H50" s="109"/>
      <c r="I50" s="163"/>
      <c r="J50" s="109"/>
      <c r="K50" s="109"/>
      <c r="L50" s="109"/>
      <c r="M50" s="109"/>
      <c r="N50" s="109"/>
      <c r="O50" s="164"/>
      <c r="P50" s="165"/>
      <c r="Q50" s="165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</row>
    <row r="51">
      <c r="A51" s="109"/>
      <c r="B51" s="109"/>
      <c r="C51" s="109"/>
      <c r="D51" s="109"/>
      <c r="E51" s="109"/>
      <c r="F51" s="109"/>
      <c r="G51" s="109"/>
      <c r="H51" s="109"/>
      <c r="I51" s="163"/>
      <c r="J51" s="109"/>
      <c r="K51" s="109"/>
      <c r="L51" s="109"/>
      <c r="M51" s="109"/>
      <c r="N51" s="109"/>
      <c r="O51" s="164"/>
      <c r="P51" s="165"/>
      <c r="Q51" s="165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</row>
    <row r="52">
      <c r="A52" s="109"/>
      <c r="B52" s="109"/>
      <c r="C52" s="109"/>
      <c r="D52" s="109"/>
      <c r="E52" s="109"/>
      <c r="F52" s="109"/>
      <c r="G52" s="109"/>
      <c r="H52" s="109"/>
      <c r="I52" s="163"/>
      <c r="J52" s="109"/>
      <c r="K52" s="109"/>
      <c r="L52" s="109"/>
      <c r="M52" s="109"/>
      <c r="N52" s="109"/>
      <c r="O52" s="164"/>
      <c r="P52" s="165"/>
      <c r="Q52" s="165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</row>
    <row r="53">
      <c r="A53" s="109"/>
      <c r="B53" s="109"/>
      <c r="C53" s="109"/>
      <c r="D53" s="109"/>
      <c r="E53" s="109"/>
      <c r="F53" s="109"/>
      <c r="G53" s="109"/>
      <c r="H53" s="109"/>
      <c r="I53" s="163"/>
      <c r="J53" s="109"/>
      <c r="K53" s="109"/>
      <c r="L53" s="109"/>
      <c r="M53" s="109"/>
      <c r="N53" s="109"/>
      <c r="O53" s="164"/>
      <c r="P53" s="165"/>
      <c r="Q53" s="165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</row>
    <row r="54">
      <c r="A54" s="109"/>
      <c r="B54" s="109"/>
      <c r="C54" s="109"/>
      <c r="D54" s="109"/>
      <c r="E54" s="109"/>
      <c r="F54" s="109"/>
      <c r="G54" s="109"/>
      <c r="H54" s="109"/>
      <c r="I54" s="163"/>
      <c r="J54" s="109"/>
      <c r="K54" s="109"/>
      <c r="L54" s="109"/>
      <c r="M54" s="109"/>
      <c r="N54" s="109"/>
      <c r="O54" s="164"/>
      <c r="P54" s="165"/>
      <c r="Q54" s="165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</row>
    <row r="55">
      <c r="A55" s="109"/>
      <c r="B55" s="109"/>
      <c r="C55" s="109"/>
      <c r="D55" s="109"/>
      <c r="E55" s="109"/>
      <c r="F55" s="109"/>
      <c r="G55" s="109"/>
      <c r="H55" s="109"/>
      <c r="I55" s="163"/>
      <c r="J55" s="109"/>
      <c r="K55" s="109"/>
      <c r="L55" s="109"/>
      <c r="M55" s="109"/>
      <c r="N55" s="109"/>
      <c r="O55" s="164"/>
      <c r="P55" s="165"/>
      <c r="Q55" s="165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</row>
    <row r="56">
      <c r="A56" s="109"/>
      <c r="B56" s="109"/>
      <c r="C56" s="109"/>
      <c r="D56" s="109"/>
      <c r="E56" s="109"/>
      <c r="F56" s="109"/>
      <c r="G56" s="109"/>
      <c r="H56" s="109"/>
      <c r="I56" s="163"/>
      <c r="J56" s="109"/>
      <c r="K56" s="109"/>
      <c r="L56" s="109"/>
      <c r="M56" s="109"/>
      <c r="N56" s="109"/>
      <c r="O56" s="164"/>
      <c r="P56" s="165"/>
      <c r="Q56" s="165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</row>
    <row r="57">
      <c r="A57" s="109"/>
      <c r="B57" s="109"/>
      <c r="C57" s="109"/>
      <c r="D57" s="109"/>
      <c r="E57" s="109"/>
      <c r="F57" s="109"/>
      <c r="G57" s="109"/>
      <c r="H57" s="109"/>
      <c r="I57" s="163"/>
      <c r="J57" s="109"/>
      <c r="K57" s="109"/>
      <c r="L57" s="109"/>
      <c r="M57" s="109"/>
      <c r="N57" s="109"/>
      <c r="O57" s="164"/>
      <c r="P57" s="165"/>
      <c r="Q57" s="165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</row>
    <row r="58">
      <c r="A58" s="109"/>
      <c r="B58" s="109"/>
      <c r="C58" s="109"/>
      <c r="D58" s="109"/>
      <c r="E58" s="109"/>
      <c r="F58" s="109"/>
      <c r="G58" s="109"/>
      <c r="H58" s="109"/>
      <c r="I58" s="163"/>
      <c r="J58" s="109"/>
      <c r="K58" s="109"/>
      <c r="L58" s="109"/>
      <c r="M58" s="109"/>
      <c r="N58" s="109"/>
      <c r="O58" s="164"/>
      <c r="P58" s="165"/>
      <c r="Q58" s="165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</row>
    <row r="59">
      <c r="A59" s="109"/>
      <c r="B59" s="109"/>
      <c r="C59" s="109"/>
      <c r="D59" s="109"/>
      <c r="E59" s="109"/>
      <c r="F59" s="109"/>
      <c r="G59" s="109"/>
      <c r="H59" s="109"/>
      <c r="I59" s="163"/>
      <c r="J59" s="109"/>
      <c r="K59" s="109"/>
      <c r="L59" s="109"/>
      <c r="M59" s="109"/>
      <c r="N59" s="109"/>
      <c r="O59" s="164"/>
      <c r="P59" s="165"/>
      <c r="Q59" s="165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</row>
    <row r="60">
      <c r="A60" s="109"/>
      <c r="B60" s="109"/>
      <c r="C60" s="109"/>
      <c r="D60" s="109"/>
      <c r="E60" s="109"/>
      <c r="F60" s="109"/>
      <c r="G60" s="109"/>
      <c r="H60" s="109"/>
      <c r="I60" s="163"/>
      <c r="J60" s="109"/>
      <c r="K60" s="109"/>
      <c r="L60" s="109"/>
      <c r="M60" s="109"/>
      <c r="N60" s="109"/>
      <c r="O60" s="164"/>
      <c r="P60" s="165"/>
      <c r="Q60" s="165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</row>
    <row r="61">
      <c r="A61" s="109"/>
      <c r="B61" s="109"/>
      <c r="C61" s="109"/>
      <c r="D61" s="109"/>
      <c r="E61" s="109"/>
      <c r="F61" s="109"/>
      <c r="G61" s="109"/>
      <c r="H61" s="109"/>
      <c r="I61" s="163"/>
      <c r="J61" s="109"/>
      <c r="K61" s="109"/>
      <c r="L61" s="109"/>
      <c r="M61" s="109"/>
      <c r="N61" s="109"/>
      <c r="O61" s="164"/>
      <c r="P61" s="165"/>
      <c r="Q61" s="165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</row>
    <row r="62">
      <c r="A62" s="109"/>
      <c r="B62" s="109"/>
      <c r="C62" s="109"/>
      <c r="D62" s="109"/>
      <c r="E62" s="109"/>
      <c r="F62" s="109"/>
      <c r="G62" s="109"/>
      <c r="H62" s="109"/>
      <c r="I62" s="163"/>
      <c r="J62" s="109"/>
      <c r="K62" s="109"/>
      <c r="L62" s="109"/>
      <c r="M62" s="109"/>
      <c r="N62" s="109"/>
      <c r="O62" s="164"/>
      <c r="P62" s="165"/>
      <c r="Q62" s="165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</row>
    <row r="63">
      <c r="A63" s="109"/>
      <c r="B63" s="109"/>
      <c r="C63" s="109"/>
      <c r="D63" s="109"/>
      <c r="E63" s="109"/>
      <c r="F63" s="109"/>
      <c r="G63" s="109"/>
      <c r="H63" s="109"/>
      <c r="I63" s="163"/>
      <c r="J63" s="109"/>
      <c r="K63" s="109"/>
      <c r="L63" s="109"/>
      <c r="M63" s="109"/>
      <c r="N63" s="109"/>
      <c r="O63" s="164"/>
      <c r="P63" s="165"/>
      <c r="Q63" s="165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</row>
    <row r="64">
      <c r="A64" s="109"/>
      <c r="B64" s="109"/>
      <c r="C64" s="109"/>
      <c r="D64" s="109"/>
      <c r="E64" s="109"/>
      <c r="F64" s="109"/>
      <c r="G64" s="109"/>
      <c r="H64" s="109"/>
      <c r="I64" s="163"/>
      <c r="J64" s="109"/>
      <c r="K64" s="109"/>
      <c r="L64" s="109"/>
      <c r="M64" s="109"/>
      <c r="N64" s="109"/>
      <c r="O64" s="164"/>
      <c r="P64" s="165"/>
      <c r="Q64" s="165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</row>
    <row r="65">
      <c r="A65" s="109"/>
      <c r="B65" s="109"/>
      <c r="C65" s="109"/>
      <c r="D65" s="109"/>
      <c r="E65" s="109"/>
      <c r="F65" s="109"/>
      <c r="G65" s="109"/>
      <c r="H65" s="109"/>
      <c r="I65" s="163"/>
      <c r="J65" s="109"/>
      <c r="K65" s="109"/>
      <c r="L65" s="109"/>
      <c r="M65" s="109"/>
      <c r="N65" s="109"/>
      <c r="O65" s="164"/>
      <c r="P65" s="165"/>
      <c r="Q65" s="165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</row>
    <row r="66">
      <c r="A66" s="109"/>
      <c r="B66" s="109"/>
      <c r="C66" s="109"/>
      <c r="D66" s="109"/>
      <c r="E66" s="109"/>
      <c r="F66" s="109"/>
      <c r="G66" s="109"/>
      <c r="H66" s="109"/>
      <c r="I66" s="163"/>
      <c r="J66" s="109"/>
      <c r="K66" s="109"/>
      <c r="L66" s="109"/>
      <c r="M66" s="109"/>
      <c r="N66" s="109"/>
      <c r="O66" s="164"/>
      <c r="P66" s="165"/>
      <c r="Q66" s="165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</row>
    <row r="67">
      <c r="A67" s="109"/>
      <c r="B67" s="109"/>
      <c r="C67" s="109"/>
      <c r="D67" s="109"/>
      <c r="E67" s="109"/>
      <c r="F67" s="109"/>
      <c r="G67" s="109"/>
      <c r="H67" s="109"/>
      <c r="I67" s="163"/>
      <c r="J67" s="109"/>
      <c r="K67" s="109"/>
      <c r="L67" s="109"/>
      <c r="M67" s="109"/>
      <c r="N67" s="109"/>
      <c r="O67" s="164"/>
      <c r="P67" s="165"/>
      <c r="Q67" s="165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</row>
    <row r="68">
      <c r="A68" s="109"/>
      <c r="B68" s="109"/>
      <c r="C68" s="109"/>
      <c r="D68" s="109"/>
      <c r="E68" s="109"/>
      <c r="F68" s="109"/>
      <c r="G68" s="109"/>
      <c r="H68" s="109"/>
      <c r="I68" s="163"/>
      <c r="J68" s="109"/>
      <c r="K68" s="109"/>
      <c r="L68" s="109"/>
      <c r="M68" s="109"/>
      <c r="N68" s="109"/>
      <c r="O68" s="164"/>
      <c r="P68" s="165"/>
      <c r="Q68" s="165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</row>
    <row r="69">
      <c r="A69" s="109"/>
      <c r="B69" s="109"/>
      <c r="C69" s="109"/>
      <c r="D69" s="109"/>
      <c r="E69" s="109"/>
      <c r="F69" s="109"/>
      <c r="G69" s="109"/>
      <c r="H69" s="109"/>
      <c r="I69" s="163"/>
      <c r="J69" s="109"/>
      <c r="K69" s="109"/>
      <c r="L69" s="109"/>
      <c r="M69" s="109"/>
      <c r="N69" s="109"/>
      <c r="O69" s="164"/>
      <c r="P69" s="165"/>
      <c r="Q69" s="165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</row>
    <row r="70">
      <c r="A70" s="109"/>
      <c r="B70" s="109"/>
      <c r="C70" s="109"/>
      <c r="D70" s="109"/>
      <c r="E70" s="109"/>
      <c r="F70" s="109"/>
      <c r="G70" s="109"/>
      <c r="H70" s="109"/>
      <c r="I70" s="163"/>
      <c r="J70" s="109"/>
      <c r="K70" s="109"/>
      <c r="L70" s="109"/>
      <c r="M70" s="109"/>
      <c r="N70" s="109"/>
      <c r="O70" s="164"/>
      <c r="P70" s="165"/>
      <c r="Q70" s="165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</row>
    <row r="71">
      <c r="A71" s="109"/>
      <c r="B71" s="109"/>
      <c r="C71" s="109"/>
      <c r="D71" s="109"/>
      <c r="E71" s="109"/>
      <c r="F71" s="109"/>
      <c r="G71" s="109"/>
      <c r="H71" s="109"/>
      <c r="I71" s="163"/>
      <c r="J71" s="109"/>
      <c r="K71" s="109"/>
      <c r="L71" s="109"/>
      <c r="M71" s="109"/>
      <c r="N71" s="109"/>
      <c r="O71" s="164"/>
      <c r="P71" s="165"/>
      <c r="Q71" s="165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</row>
    <row r="72">
      <c r="A72" s="109"/>
      <c r="B72" s="109"/>
      <c r="C72" s="109"/>
      <c r="D72" s="109"/>
      <c r="E72" s="109"/>
      <c r="F72" s="109"/>
      <c r="G72" s="109"/>
      <c r="H72" s="109"/>
      <c r="I72" s="163"/>
      <c r="J72" s="109"/>
      <c r="K72" s="109"/>
      <c r="L72" s="109"/>
      <c r="M72" s="109"/>
      <c r="N72" s="109"/>
      <c r="O72" s="164"/>
      <c r="P72" s="165"/>
      <c r="Q72" s="165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</row>
    <row r="73">
      <c r="A73" s="109"/>
      <c r="B73" s="109"/>
      <c r="C73" s="109"/>
      <c r="D73" s="109"/>
      <c r="E73" s="109"/>
      <c r="F73" s="109"/>
      <c r="G73" s="109"/>
      <c r="H73" s="109"/>
      <c r="I73" s="163"/>
      <c r="J73" s="109"/>
      <c r="K73" s="109"/>
      <c r="L73" s="109"/>
      <c r="M73" s="109"/>
      <c r="N73" s="109"/>
      <c r="O73" s="164"/>
      <c r="P73" s="165"/>
      <c r="Q73" s="165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</row>
    <row r="74">
      <c r="A74" s="109"/>
      <c r="B74" s="109"/>
      <c r="C74" s="109"/>
      <c r="D74" s="109"/>
      <c r="E74" s="109"/>
      <c r="F74" s="109"/>
      <c r="G74" s="109"/>
      <c r="H74" s="109"/>
      <c r="I74" s="163"/>
      <c r="J74" s="109"/>
      <c r="K74" s="109"/>
      <c r="L74" s="109"/>
      <c r="M74" s="109"/>
      <c r="N74" s="109"/>
      <c r="O74" s="164"/>
      <c r="P74" s="165"/>
      <c r="Q74" s="165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</row>
    <row r="75">
      <c r="A75" s="109"/>
      <c r="B75" s="109"/>
      <c r="C75" s="109"/>
      <c r="D75" s="109"/>
      <c r="E75" s="109"/>
      <c r="F75" s="109"/>
      <c r="G75" s="109"/>
      <c r="H75" s="109"/>
      <c r="I75" s="163"/>
      <c r="J75" s="109"/>
      <c r="K75" s="109"/>
      <c r="L75" s="109"/>
      <c r="M75" s="109"/>
      <c r="N75" s="109"/>
      <c r="O75" s="164"/>
      <c r="P75" s="165"/>
      <c r="Q75" s="165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</row>
    <row r="76">
      <c r="A76" s="109"/>
      <c r="B76" s="109"/>
      <c r="C76" s="109"/>
      <c r="D76" s="109"/>
      <c r="E76" s="109"/>
      <c r="F76" s="109"/>
      <c r="G76" s="109"/>
      <c r="H76" s="109"/>
      <c r="I76" s="163"/>
      <c r="J76" s="109"/>
      <c r="K76" s="109"/>
      <c r="L76" s="109"/>
      <c r="M76" s="109"/>
      <c r="N76" s="109"/>
      <c r="O76" s="164"/>
      <c r="P76" s="165"/>
      <c r="Q76" s="165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</row>
    <row r="77">
      <c r="A77" s="109"/>
      <c r="B77" s="109"/>
      <c r="C77" s="109"/>
      <c r="D77" s="109"/>
      <c r="E77" s="109"/>
      <c r="F77" s="109"/>
      <c r="G77" s="109"/>
      <c r="H77" s="109"/>
      <c r="I77" s="163"/>
      <c r="J77" s="109"/>
      <c r="K77" s="109"/>
      <c r="L77" s="109"/>
      <c r="M77" s="109"/>
      <c r="N77" s="109"/>
      <c r="O77" s="164"/>
      <c r="P77" s="165"/>
      <c r="Q77" s="165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</row>
    <row r="78">
      <c r="A78" s="109"/>
      <c r="B78" s="109"/>
      <c r="C78" s="109"/>
      <c r="D78" s="109"/>
      <c r="E78" s="109"/>
      <c r="F78" s="109"/>
      <c r="G78" s="109"/>
      <c r="H78" s="109"/>
      <c r="I78" s="163"/>
      <c r="J78" s="109"/>
      <c r="K78" s="109"/>
      <c r="L78" s="109"/>
      <c r="M78" s="109"/>
      <c r="N78" s="109"/>
      <c r="O78" s="164"/>
      <c r="P78" s="165"/>
      <c r="Q78" s="165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</row>
    <row r="79">
      <c r="A79" s="109"/>
      <c r="B79" s="109"/>
      <c r="C79" s="109"/>
      <c r="D79" s="109"/>
      <c r="E79" s="109"/>
      <c r="F79" s="109"/>
      <c r="G79" s="109"/>
      <c r="H79" s="109"/>
      <c r="I79" s="163"/>
      <c r="J79" s="109"/>
      <c r="K79" s="109"/>
      <c r="L79" s="109"/>
      <c r="M79" s="109"/>
      <c r="N79" s="109"/>
      <c r="O79" s="164"/>
      <c r="P79" s="165"/>
      <c r="Q79" s="165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</row>
    <row r="80">
      <c r="A80" s="109"/>
      <c r="B80" s="109"/>
      <c r="C80" s="109"/>
      <c r="D80" s="109"/>
      <c r="E80" s="109"/>
      <c r="F80" s="109"/>
      <c r="G80" s="109"/>
      <c r="H80" s="109"/>
      <c r="I80" s="163"/>
      <c r="J80" s="109"/>
      <c r="K80" s="109"/>
      <c r="L80" s="109"/>
      <c r="M80" s="109"/>
      <c r="N80" s="109"/>
      <c r="O80" s="164"/>
      <c r="P80" s="165"/>
      <c r="Q80" s="165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</row>
    <row r="81">
      <c r="A81" s="109"/>
      <c r="B81" s="109"/>
      <c r="C81" s="109"/>
      <c r="D81" s="109"/>
      <c r="E81" s="109"/>
      <c r="F81" s="109"/>
      <c r="G81" s="109"/>
      <c r="H81" s="109"/>
      <c r="I81" s="163"/>
      <c r="J81" s="109"/>
      <c r="K81" s="109"/>
      <c r="L81" s="109"/>
      <c r="M81" s="109"/>
      <c r="N81" s="109"/>
      <c r="O81" s="164"/>
      <c r="P81" s="165"/>
      <c r="Q81" s="165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</row>
    <row r="82">
      <c r="A82" s="109"/>
      <c r="B82" s="109"/>
      <c r="C82" s="109"/>
      <c r="D82" s="109"/>
      <c r="E82" s="109"/>
      <c r="F82" s="109"/>
      <c r="G82" s="109"/>
      <c r="H82" s="109"/>
      <c r="I82" s="163"/>
      <c r="J82" s="109"/>
      <c r="K82" s="109"/>
      <c r="L82" s="109"/>
      <c r="M82" s="109"/>
      <c r="N82" s="109"/>
      <c r="O82" s="164"/>
      <c r="P82" s="165"/>
      <c r="Q82" s="165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</row>
    <row r="83">
      <c r="A83" s="109"/>
      <c r="B83" s="109"/>
      <c r="C83" s="109"/>
      <c r="D83" s="109"/>
      <c r="E83" s="109"/>
      <c r="F83" s="109"/>
      <c r="G83" s="109"/>
      <c r="H83" s="109"/>
      <c r="I83" s="163"/>
      <c r="J83" s="109"/>
      <c r="K83" s="109"/>
      <c r="L83" s="109"/>
      <c r="M83" s="109"/>
      <c r="N83" s="109"/>
      <c r="O83" s="164"/>
      <c r="P83" s="165"/>
      <c r="Q83" s="165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</row>
    <row r="84">
      <c r="A84" s="109"/>
      <c r="B84" s="109"/>
      <c r="C84" s="109"/>
      <c r="D84" s="109"/>
      <c r="E84" s="109"/>
      <c r="F84" s="109"/>
      <c r="G84" s="109"/>
      <c r="H84" s="109"/>
      <c r="I84" s="163"/>
      <c r="J84" s="109"/>
      <c r="K84" s="109"/>
      <c r="L84" s="109"/>
      <c r="M84" s="109"/>
      <c r="N84" s="109"/>
      <c r="O84" s="164"/>
      <c r="P84" s="165"/>
      <c r="Q84" s="165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</row>
    <row r="85">
      <c r="A85" s="109"/>
      <c r="B85" s="109"/>
      <c r="C85" s="109"/>
      <c r="D85" s="109"/>
      <c r="E85" s="109"/>
      <c r="F85" s="109"/>
      <c r="G85" s="109"/>
      <c r="H85" s="109"/>
      <c r="I85" s="163"/>
      <c r="J85" s="109"/>
      <c r="K85" s="109"/>
      <c r="L85" s="109"/>
      <c r="M85" s="109"/>
      <c r="N85" s="109"/>
      <c r="O85" s="164"/>
      <c r="P85" s="165"/>
      <c r="Q85" s="165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</row>
    <row r="86">
      <c r="A86" s="109"/>
      <c r="B86" s="109"/>
      <c r="C86" s="109"/>
      <c r="D86" s="109"/>
      <c r="E86" s="109"/>
      <c r="F86" s="109"/>
      <c r="G86" s="109"/>
      <c r="H86" s="109"/>
      <c r="I86" s="163"/>
      <c r="J86" s="109"/>
      <c r="K86" s="109"/>
      <c r="L86" s="109"/>
      <c r="M86" s="109"/>
      <c r="N86" s="109"/>
      <c r="O86" s="164"/>
      <c r="P86" s="165"/>
      <c r="Q86" s="165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</row>
    <row r="87">
      <c r="A87" s="109"/>
      <c r="B87" s="109"/>
      <c r="C87" s="109"/>
      <c r="D87" s="109"/>
      <c r="E87" s="109"/>
      <c r="F87" s="109"/>
      <c r="G87" s="109"/>
      <c r="H87" s="109"/>
      <c r="I87" s="163"/>
      <c r="J87" s="109"/>
      <c r="K87" s="109"/>
      <c r="L87" s="109"/>
      <c r="M87" s="109"/>
      <c r="N87" s="109"/>
      <c r="O87" s="164"/>
      <c r="P87" s="165"/>
      <c r="Q87" s="165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</row>
    <row r="88">
      <c r="A88" s="109"/>
      <c r="B88" s="109"/>
      <c r="C88" s="109"/>
      <c r="D88" s="109"/>
      <c r="E88" s="109"/>
      <c r="F88" s="109"/>
      <c r="G88" s="109"/>
      <c r="H88" s="109"/>
      <c r="I88" s="163"/>
      <c r="J88" s="109"/>
      <c r="K88" s="109"/>
      <c r="L88" s="109"/>
      <c r="M88" s="109"/>
      <c r="N88" s="109"/>
      <c r="O88" s="164"/>
      <c r="P88" s="165"/>
      <c r="Q88" s="165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</row>
    <row r="89">
      <c r="A89" s="109"/>
      <c r="B89" s="109"/>
      <c r="C89" s="109"/>
      <c r="D89" s="109"/>
      <c r="E89" s="109"/>
      <c r="F89" s="109"/>
      <c r="G89" s="109"/>
      <c r="H89" s="109"/>
      <c r="I89" s="163"/>
      <c r="J89" s="109"/>
      <c r="K89" s="109"/>
      <c r="L89" s="109"/>
      <c r="M89" s="109"/>
      <c r="N89" s="109"/>
      <c r="O89" s="164"/>
      <c r="P89" s="165"/>
      <c r="Q89" s="165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</row>
    <row r="90">
      <c r="A90" s="109"/>
      <c r="B90" s="109"/>
      <c r="C90" s="109"/>
      <c r="D90" s="109"/>
      <c r="E90" s="109"/>
      <c r="F90" s="109"/>
      <c r="G90" s="109"/>
      <c r="H90" s="109"/>
      <c r="I90" s="163"/>
      <c r="J90" s="109"/>
      <c r="K90" s="109"/>
      <c r="L90" s="109"/>
      <c r="M90" s="109"/>
      <c r="N90" s="109"/>
      <c r="O90" s="164"/>
      <c r="P90" s="165"/>
      <c r="Q90" s="165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</row>
    <row r="91">
      <c r="A91" s="109"/>
      <c r="B91" s="109"/>
      <c r="C91" s="109"/>
      <c r="D91" s="109"/>
      <c r="E91" s="109"/>
      <c r="F91" s="109"/>
      <c r="G91" s="109"/>
      <c r="H91" s="109"/>
      <c r="I91" s="163"/>
      <c r="J91" s="109"/>
      <c r="K91" s="109"/>
      <c r="L91" s="109"/>
      <c r="M91" s="109"/>
      <c r="N91" s="109"/>
      <c r="O91" s="164"/>
      <c r="P91" s="165"/>
      <c r="Q91" s="165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09"/>
    </row>
    <row r="92">
      <c r="A92" s="109"/>
      <c r="B92" s="109"/>
      <c r="C92" s="109"/>
      <c r="D92" s="109"/>
      <c r="E92" s="109"/>
      <c r="F92" s="109"/>
      <c r="G92" s="109"/>
      <c r="H92" s="109"/>
      <c r="I92" s="163"/>
      <c r="J92" s="109"/>
      <c r="K92" s="109"/>
      <c r="L92" s="109"/>
      <c r="M92" s="109"/>
      <c r="N92" s="109"/>
      <c r="O92" s="164"/>
      <c r="P92" s="165"/>
      <c r="Q92" s="165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</row>
    <row r="93">
      <c r="A93" s="109"/>
      <c r="B93" s="109"/>
      <c r="C93" s="109"/>
      <c r="D93" s="109"/>
      <c r="E93" s="109"/>
      <c r="F93" s="109"/>
      <c r="G93" s="109"/>
      <c r="H93" s="109"/>
      <c r="I93" s="163"/>
      <c r="J93" s="109"/>
      <c r="K93" s="109"/>
      <c r="L93" s="109"/>
      <c r="M93" s="109"/>
      <c r="N93" s="109"/>
      <c r="O93" s="164"/>
      <c r="P93" s="165"/>
      <c r="Q93" s="165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</row>
    <row r="94">
      <c r="A94" s="109"/>
      <c r="B94" s="109"/>
      <c r="C94" s="109"/>
      <c r="D94" s="109"/>
      <c r="E94" s="109"/>
      <c r="F94" s="109"/>
      <c r="G94" s="109"/>
      <c r="H94" s="109"/>
      <c r="I94" s="163"/>
      <c r="J94" s="109"/>
      <c r="K94" s="109"/>
      <c r="L94" s="109"/>
      <c r="M94" s="109"/>
      <c r="N94" s="109"/>
      <c r="O94" s="164"/>
      <c r="P94" s="165"/>
      <c r="Q94" s="165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09"/>
      <c r="BJ94" s="109"/>
      <c r="BK94" s="109"/>
    </row>
    <row r="95">
      <c r="A95" s="109"/>
      <c r="B95" s="109"/>
      <c r="C95" s="109"/>
      <c r="D95" s="109"/>
      <c r="E95" s="109"/>
      <c r="F95" s="109"/>
      <c r="G95" s="109"/>
      <c r="H95" s="109"/>
      <c r="I95" s="163"/>
      <c r="J95" s="109"/>
      <c r="K95" s="109"/>
      <c r="L95" s="109"/>
      <c r="M95" s="109"/>
      <c r="N95" s="109"/>
      <c r="O95" s="164"/>
      <c r="P95" s="165"/>
      <c r="Q95" s="165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</row>
    <row r="96">
      <c r="A96" s="109"/>
      <c r="B96" s="109"/>
      <c r="C96" s="109"/>
      <c r="D96" s="109"/>
      <c r="E96" s="109"/>
      <c r="F96" s="109"/>
      <c r="G96" s="109"/>
      <c r="H96" s="109"/>
      <c r="I96" s="163"/>
      <c r="J96" s="109"/>
      <c r="K96" s="109"/>
      <c r="L96" s="109"/>
      <c r="M96" s="109"/>
      <c r="N96" s="109"/>
      <c r="O96" s="164"/>
      <c r="P96" s="165"/>
      <c r="Q96" s="165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</row>
    <row r="97">
      <c r="A97" s="109"/>
      <c r="B97" s="109"/>
      <c r="C97" s="109"/>
      <c r="D97" s="109"/>
      <c r="E97" s="109"/>
      <c r="F97" s="109"/>
      <c r="G97" s="109"/>
      <c r="H97" s="109"/>
      <c r="I97" s="163"/>
      <c r="J97" s="109"/>
      <c r="K97" s="109"/>
      <c r="L97" s="109"/>
      <c r="M97" s="109"/>
      <c r="N97" s="109"/>
      <c r="O97" s="164"/>
      <c r="P97" s="165"/>
      <c r="Q97" s="165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  <c r="BE97" s="109"/>
      <c r="BF97" s="109"/>
      <c r="BG97" s="109"/>
      <c r="BH97" s="109"/>
      <c r="BI97" s="109"/>
      <c r="BJ97" s="109"/>
      <c r="BK97" s="109"/>
    </row>
    <row r="98">
      <c r="A98" s="109"/>
      <c r="B98" s="109"/>
      <c r="C98" s="109"/>
      <c r="D98" s="109"/>
      <c r="E98" s="109"/>
      <c r="F98" s="109"/>
      <c r="G98" s="109"/>
      <c r="H98" s="109"/>
      <c r="I98" s="163"/>
      <c r="J98" s="109"/>
      <c r="K98" s="109"/>
      <c r="L98" s="109"/>
      <c r="M98" s="109"/>
      <c r="N98" s="109"/>
      <c r="O98" s="164"/>
      <c r="P98" s="165"/>
      <c r="Q98" s="165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</row>
    <row r="99">
      <c r="A99" s="109"/>
      <c r="B99" s="109"/>
      <c r="C99" s="109"/>
      <c r="D99" s="109"/>
      <c r="E99" s="109"/>
      <c r="F99" s="109"/>
      <c r="G99" s="109"/>
      <c r="H99" s="109"/>
      <c r="I99" s="163"/>
      <c r="J99" s="109"/>
      <c r="K99" s="109"/>
      <c r="L99" s="109"/>
      <c r="M99" s="109"/>
      <c r="N99" s="109"/>
      <c r="O99" s="164"/>
      <c r="P99" s="165"/>
      <c r="Q99" s="165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63"/>
      <c r="J100" s="109"/>
      <c r="K100" s="109"/>
      <c r="L100" s="109"/>
      <c r="M100" s="109"/>
      <c r="N100" s="109"/>
      <c r="O100" s="164"/>
      <c r="P100" s="165"/>
      <c r="Q100" s="165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63"/>
      <c r="J101" s="109"/>
      <c r="K101" s="109"/>
      <c r="L101" s="109"/>
      <c r="M101" s="109"/>
      <c r="N101" s="109"/>
      <c r="O101" s="164"/>
      <c r="P101" s="165"/>
      <c r="Q101" s="165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  <c r="BE101" s="109"/>
      <c r="BF101" s="109"/>
      <c r="BG101" s="109"/>
      <c r="BH101" s="109"/>
      <c r="BI101" s="109"/>
      <c r="BJ101" s="109"/>
      <c r="BK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63"/>
      <c r="J102" s="109"/>
      <c r="K102" s="109"/>
      <c r="L102" s="109"/>
      <c r="M102" s="109"/>
      <c r="N102" s="109"/>
      <c r="O102" s="164"/>
      <c r="P102" s="165"/>
      <c r="Q102" s="165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63"/>
      <c r="J103" s="109"/>
      <c r="K103" s="109"/>
      <c r="L103" s="109"/>
      <c r="M103" s="109"/>
      <c r="N103" s="109"/>
      <c r="O103" s="164"/>
      <c r="P103" s="165"/>
      <c r="Q103" s="165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  <c r="BE103" s="109"/>
      <c r="BF103" s="109"/>
      <c r="BG103" s="109"/>
      <c r="BH103" s="109"/>
      <c r="BI103" s="109"/>
      <c r="BJ103" s="109"/>
      <c r="BK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63"/>
      <c r="J104" s="109"/>
      <c r="K104" s="109"/>
      <c r="L104" s="109"/>
      <c r="M104" s="109"/>
      <c r="N104" s="109"/>
      <c r="O104" s="164"/>
      <c r="P104" s="165"/>
      <c r="Q104" s="165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63"/>
      <c r="J105" s="109"/>
      <c r="K105" s="109"/>
      <c r="L105" s="109"/>
      <c r="M105" s="109"/>
      <c r="N105" s="109"/>
      <c r="O105" s="164"/>
      <c r="P105" s="165"/>
      <c r="Q105" s="165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63"/>
      <c r="J106" s="109"/>
      <c r="K106" s="109"/>
      <c r="L106" s="109"/>
      <c r="M106" s="109"/>
      <c r="N106" s="109"/>
      <c r="O106" s="164"/>
      <c r="P106" s="165"/>
      <c r="Q106" s="165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63"/>
      <c r="J107" s="109"/>
      <c r="K107" s="109"/>
      <c r="L107" s="109"/>
      <c r="M107" s="109"/>
      <c r="N107" s="109"/>
      <c r="O107" s="164"/>
      <c r="P107" s="165"/>
      <c r="Q107" s="165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  <c r="BE107" s="109"/>
      <c r="BF107" s="109"/>
      <c r="BG107" s="109"/>
      <c r="BH107" s="109"/>
      <c r="BI107" s="109"/>
      <c r="BJ107" s="109"/>
      <c r="BK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63"/>
      <c r="J108" s="109"/>
      <c r="K108" s="109"/>
      <c r="L108" s="109"/>
      <c r="M108" s="109"/>
      <c r="N108" s="109"/>
      <c r="O108" s="164"/>
      <c r="P108" s="165"/>
      <c r="Q108" s="165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109"/>
      <c r="BC108" s="109"/>
      <c r="BD108" s="109"/>
      <c r="BE108" s="109"/>
      <c r="BF108" s="109"/>
      <c r="BG108" s="109"/>
      <c r="BH108" s="109"/>
      <c r="BI108" s="109"/>
      <c r="BJ108" s="109"/>
      <c r="BK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63"/>
      <c r="J109" s="109"/>
      <c r="K109" s="109"/>
      <c r="L109" s="109"/>
      <c r="M109" s="109"/>
      <c r="N109" s="109"/>
      <c r="O109" s="164"/>
      <c r="P109" s="165"/>
      <c r="Q109" s="165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  <c r="BI109" s="109"/>
      <c r="BJ109" s="109"/>
      <c r="BK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63"/>
      <c r="J110" s="109"/>
      <c r="K110" s="109"/>
      <c r="L110" s="109"/>
      <c r="M110" s="109"/>
      <c r="N110" s="109"/>
      <c r="O110" s="164"/>
      <c r="P110" s="165"/>
      <c r="Q110" s="165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09"/>
      <c r="BJ110" s="109"/>
      <c r="BK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63"/>
      <c r="J111" s="109"/>
      <c r="K111" s="109"/>
      <c r="L111" s="109"/>
      <c r="M111" s="109"/>
      <c r="N111" s="109"/>
      <c r="O111" s="164"/>
      <c r="P111" s="165"/>
      <c r="Q111" s="165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  <c r="BE111" s="109"/>
      <c r="BF111" s="109"/>
      <c r="BG111" s="109"/>
      <c r="BH111" s="109"/>
      <c r="BI111" s="109"/>
      <c r="BJ111" s="109"/>
      <c r="BK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63"/>
      <c r="J112" s="109"/>
      <c r="K112" s="109"/>
      <c r="L112" s="109"/>
      <c r="M112" s="109"/>
      <c r="N112" s="109"/>
      <c r="O112" s="164"/>
      <c r="P112" s="165"/>
      <c r="Q112" s="165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  <c r="BI112" s="109"/>
      <c r="BJ112" s="109"/>
      <c r="BK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63"/>
      <c r="J113" s="109"/>
      <c r="K113" s="109"/>
      <c r="L113" s="109"/>
      <c r="M113" s="109"/>
      <c r="N113" s="109"/>
      <c r="O113" s="164"/>
      <c r="P113" s="165"/>
      <c r="Q113" s="165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63"/>
      <c r="J114" s="109"/>
      <c r="K114" s="109"/>
      <c r="L114" s="109"/>
      <c r="M114" s="109"/>
      <c r="N114" s="109"/>
      <c r="O114" s="164"/>
      <c r="P114" s="165"/>
      <c r="Q114" s="165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63"/>
      <c r="J115" s="109"/>
      <c r="K115" s="109"/>
      <c r="L115" s="109"/>
      <c r="M115" s="109"/>
      <c r="N115" s="109"/>
      <c r="O115" s="164"/>
      <c r="P115" s="165"/>
      <c r="Q115" s="165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63"/>
      <c r="J116" s="109"/>
      <c r="K116" s="109"/>
      <c r="L116" s="109"/>
      <c r="M116" s="109"/>
      <c r="N116" s="109"/>
      <c r="O116" s="164"/>
      <c r="P116" s="165"/>
      <c r="Q116" s="165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63"/>
      <c r="J117" s="109"/>
      <c r="K117" s="109"/>
      <c r="L117" s="109"/>
      <c r="M117" s="109"/>
      <c r="N117" s="109"/>
      <c r="O117" s="164"/>
      <c r="P117" s="165"/>
      <c r="Q117" s="165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63"/>
      <c r="J118" s="109"/>
      <c r="K118" s="109"/>
      <c r="L118" s="109"/>
      <c r="M118" s="109"/>
      <c r="N118" s="109"/>
      <c r="O118" s="164"/>
      <c r="P118" s="165"/>
      <c r="Q118" s="165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63"/>
      <c r="J119" s="109"/>
      <c r="K119" s="109"/>
      <c r="L119" s="109"/>
      <c r="M119" s="109"/>
      <c r="N119" s="109"/>
      <c r="O119" s="164"/>
      <c r="P119" s="165"/>
      <c r="Q119" s="165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63"/>
      <c r="J120" s="109"/>
      <c r="K120" s="109"/>
      <c r="L120" s="109"/>
      <c r="M120" s="109"/>
      <c r="N120" s="109"/>
      <c r="O120" s="164"/>
      <c r="P120" s="165"/>
      <c r="Q120" s="165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63"/>
      <c r="J121" s="109"/>
      <c r="K121" s="109"/>
      <c r="L121" s="109"/>
      <c r="M121" s="109"/>
      <c r="N121" s="109"/>
      <c r="O121" s="164"/>
      <c r="P121" s="165"/>
      <c r="Q121" s="165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63"/>
      <c r="J122" s="109"/>
      <c r="K122" s="109"/>
      <c r="L122" s="109"/>
      <c r="M122" s="109"/>
      <c r="N122" s="109"/>
      <c r="O122" s="164"/>
      <c r="P122" s="165"/>
      <c r="Q122" s="165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63"/>
      <c r="J123" s="109"/>
      <c r="K123" s="109"/>
      <c r="L123" s="109"/>
      <c r="M123" s="109"/>
      <c r="N123" s="109"/>
      <c r="O123" s="164"/>
      <c r="P123" s="165"/>
      <c r="Q123" s="165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63"/>
      <c r="J124" s="109"/>
      <c r="K124" s="109"/>
      <c r="L124" s="109"/>
      <c r="M124" s="109"/>
      <c r="N124" s="109"/>
      <c r="O124" s="164"/>
      <c r="P124" s="165"/>
      <c r="Q124" s="165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63"/>
      <c r="J125" s="109"/>
      <c r="K125" s="109"/>
      <c r="L125" s="109"/>
      <c r="M125" s="109"/>
      <c r="N125" s="109"/>
      <c r="O125" s="164"/>
      <c r="P125" s="165"/>
      <c r="Q125" s="165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  <c r="BI125" s="109"/>
      <c r="BJ125" s="109"/>
      <c r="BK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63"/>
      <c r="J126" s="109"/>
      <c r="K126" s="109"/>
      <c r="L126" s="109"/>
      <c r="M126" s="109"/>
      <c r="N126" s="109"/>
      <c r="O126" s="164"/>
      <c r="P126" s="165"/>
      <c r="Q126" s="165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109"/>
      <c r="BC126" s="109"/>
      <c r="BD126" s="109"/>
      <c r="BE126" s="109"/>
      <c r="BF126" s="109"/>
      <c r="BG126" s="109"/>
      <c r="BH126" s="109"/>
      <c r="BI126" s="109"/>
      <c r="BJ126" s="109"/>
      <c r="BK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63"/>
      <c r="J127" s="109"/>
      <c r="K127" s="109"/>
      <c r="L127" s="109"/>
      <c r="M127" s="109"/>
      <c r="N127" s="109"/>
      <c r="O127" s="164"/>
      <c r="P127" s="165"/>
      <c r="Q127" s="165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109"/>
      <c r="BC127" s="109"/>
      <c r="BD127" s="109"/>
      <c r="BE127" s="109"/>
      <c r="BF127" s="109"/>
      <c r="BG127" s="109"/>
      <c r="BH127" s="109"/>
      <c r="BI127" s="109"/>
      <c r="BJ127" s="109"/>
      <c r="BK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63"/>
      <c r="J128" s="109"/>
      <c r="K128" s="109"/>
      <c r="L128" s="109"/>
      <c r="M128" s="109"/>
      <c r="N128" s="109"/>
      <c r="O128" s="164"/>
      <c r="P128" s="165"/>
      <c r="Q128" s="165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109"/>
      <c r="BC128" s="109"/>
      <c r="BD128" s="109"/>
      <c r="BE128" s="109"/>
      <c r="BF128" s="109"/>
      <c r="BG128" s="109"/>
      <c r="BH128" s="109"/>
      <c r="BI128" s="109"/>
      <c r="BJ128" s="109"/>
      <c r="BK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63"/>
      <c r="J129" s="109"/>
      <c r="K129" s="109"/>
      <c r="L129" s="109"/>
      <c r="M129" s="109"/>
      <c r="N129" s="109"/>
      <c r="O129" s="164"/>
      <c r="P129" s="165"/>
      <c r="Q129" s="165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109"/>
      <c r="BC129" s="109"/>
      <c r="BD129" s="109"/>
      <c r="BE129" s="109"/>
      <c r="BF129" s="109"/>
      <c r="BG129" s="109"/>
      <c r="BH129" s="109"/>
      <c r="BI129" s="109"/>
      <c r="BJ129" s="109"/>
      <c r="BK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63"/>
      <c r="J130" s="109"/>
      <c r="K130" s="109"/>
      <c r="L130" s="109"/>
      <c r="M130" s="109"/>
      <c r="N130" s="109"/>
      <c r="O130" s="164"/>
      <c r="P130" s="165"/>
      <c r="Q130" s="165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63"/>
      <c r="J131" s="109"/>
      <c r="K131" s="109"/>
      <c r="L131" s="109"/>
      <c r="M131" s="109"/>
      <c r="N131" s="109"/>
      <c r="O131" s="164"/>
      <c r="P131" s="165"/>
      <c r="Q131" s="165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63"/>
      <c r="J132" s="109"/>
      <c r="K132" s="109"/>
      <c r="L132" s="109"/>
      <c r="M132" s="109"/>
      <c r="N132" s="109"/>
      <c r="O132" s="164"/>
      <c r="P132" s="165"/>
      <c r="Q132" s="165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  <c r="BE132" s="109"/>
      <c r="BF132" s="109"/>
      <c r="BG132" s="109"/>
      <c r="BH132" s="109"/>
      <c r="BI132" s="109"/>
      <c r="BJ132" s="109"/>
      <c r="BK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63"/>
      <c r="J133" s="109"/>
      <c r="K133" s="109"/>
      <c r="L133" s="109"/>
      <c r="M133" s="109"/>
      <c r="N133" s="109"/>
      <c r="O133" s="164"/>
      <c r="P133" s="165"/>
      <c r="Q133" s="165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109"/>
      <c r="BC133" s="109"/>
      <c r="BD133" s="109"/>
      <c r="BE133" s="109"/>
      <c r="BF133" s="109"/>
      <c r="BG133" s="109"/>
      <c r="BH133" s="109"/>
      <c r="BI133" s="109"/>
      <c r="BJ133" s="109"/>
      <c r="BK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63"/>
      <c r="J134" s="109"/>
      <c r="K134" s="109"/>
      <c r="L134" s="109"/>
      <c r="M134" s="109"/>
      <c r="N134" s="109"/>
      <c r="O134" s="164"/>
      <c r="P134" s="165"/>
      <c r="Q134" s="165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63"/>
      <c r="J135" s="109"/>
      <c r="K135" s="109"/>
      <c r="L135" s="109"/>
      <c r="M135" s="109"/>
      <c r="N135" s="109"/>
      <c r="O135" s="164"/>
      <c r="P135" s="165"/>
      <c r="Q135" s="165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109"/>
      <c r="BC135" s="109"/>
      <c r="BD135" s="109"/>
      <c r="BE135" s="109"/>
      <c r="BF135" s="109"/>
      <c r="BG135" s="109"/>
      <c r="BH135" s="109"/>
      <c r="BI135" s="109"/>
      <c r="BJ135" s="109"/>
      <c r="BK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63"/>
      <c r="J136" s="109"/>
      <c r="K136" s="109"/>
      <c r="L136" s="109"/>
      <c r="M136" s="109"/>
      <c r="N136" s="109"/>
      <c r="O136" s="164"/>
      <c r="P136" s="165"/>
      <c r="Q136" s="165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63"/>
      <c r="J137" s="109"/>
      <c r="K137" s="109"/>
      <c r="L137" s="109"/>
      <c r="M137" s="109"/>
      <c r="N137" s="109"/>
      <c r="O137" s="164"/>
      <c r="P137" s="165"/>
      <c r="Q137" s="165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  <c r="BE137" s="109"/>
      <c r="BF137" s="109"/>
      <c r="BG137" s="109"/>
      <c r="BH137" s="109"/>
      <c r="BI137" s="109"/>
      <c r="BJ137" s="109"/>
      <c r="BK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63"/>
      <c r="J138" s="109"/>
      <c r="K138" s="109"/>
      <c r="L138" s="109"/>
      <c r="M138" s="109"/>
      <c r="N138" s="109"/>
      <c r="O138" s="164"/>
      <c r="P138" s="165"/>
      <c r="Q138" s="165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63"/>
      <c r="J139" s="109"/>
      <c r="K139" s="109"/>
      <c r="L139" s="109"/>
      <c r="M139" s="109"/>
      <c r="N139" s="109"/>
      <c r="O139" s="164"/>
      <c r="P139" s="165"/>
      <c r="Q139" s="165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109"/>
      <c r="BC139" s="109"/>
      <c r="BD139" s="109"/>
      <c r="BE139" s="109"/>
      <c r="BF139" s="109"/>
      <c r="BG139" s="109"/>
      <c r="BH139" s="109"/>
      <c r="BI139" s="109"/>
      <c r="BJ139" s="109"/>
      <c r="BK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63"/>
      <c r="J140" s="109"/>
      <c r="K140" s="109"/>
      <c r="L140" s="109"/>
      <c r="M140" s="109"/>
      <c r="N140" s="109"/>
      <c r="O140" s="164"/>
      <c r="P140" s="165"/>
      <c r="Q140" s="165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63"/>
      <c r="J141" s="109"/>
      <c r="K141" s="109"/>
      <c r="L141" s="109"/>
      <c r="M141" s="109"/>
      <c r="N141" s="109"/>
      <c r="O141" s="164"/>
      <c r="P141" s="165"/>
      <c r="Q141" s="165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09"/>
      <c r="BJ141" s="109"/>
      <c r="BK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63"/>
      <c r="J142" s="109"/>
      <c r="K142" s="109"/>
      <c r="L142" s="109"/>
      <c r="M142" s="109"/>
      <c r="N142" s="109"/>
      <c r="O142" s="164"/>
      <c r="P142" s="165"/>
      <c r="Q142" s="165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63"/>
      <c r="J143" s="109"/>
      <c r="K143" s="109"/>
      <c r="L143" s="109"/>
      <c r="M143" s="109"/>
      <c r="N143" s="109"/>
      <c r="O143" s="164"/>
      <c r="P143" s="165"/>
      <c r="Q143" s="165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109"/>
      <c r="BC143" s="109"/>
      <c r="BD143" s="109"/>
      <c r="BE143" s="109"/>
      <c r="BF143" s="109"/>
      <c r="BG143" s="109"/>
      <c r="BH143" s="109"/>
      <c r="BI143" s="109"/>
      <c r="BJ143" s="109"/>
      <c r="BK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63"/>
      <c r="J144" s="109"/>
      <c r="K144" s="109"/>
      <c r="L144" s="109"/>
      <c r="M144" s="109"/>
      <c r="N144" s="109"/>
      <c r="O144" s="164"/>
      <c r="P144" s="165"/>
      <c r="Q144" s="165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109"/>
      <c r="BC144" s="109"/>
      <c r="BD144" s="109"/>
      <c r="BE144" s="109"/>
      <c r="BF144" s="109"/>
      <c r="BG144" s="109"/>
      <c r="BH144" s="109"/>
      <c r="BI144" s="109"/>
      <c r="BJ144" s="109"/>
      <c r="BK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63"/>
      <c r="J145" s="109"/>
      <c r="K145" s="109"/>
      <c r="L145" s="109"/>
      <c r="M145" s="109"/>
      <c r="N145" s="109"/>
      <c r="O145" s="164"/>
      <c r="P145" s="165"/>
      <c r="Q145" s="165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109"/>
      <c r="BC145" s="109"/>
      <c r="BD145" s="109"/>
      <c r="BE145" s="109"/>
      <c r="BF145" s="109"/>
      <c r="BG145" s="109"/>
      <c r="BH145" s="109"/>
      <c r="BI145" s="109"/>
      <c r="BJ145" s="109"/>
      <c r="BK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63"/>
      <c r="J146" s="109"/>
      <c r="K146" s="109"/>
      <c r="L146" s="109"/>
      <c r="M146" s="109"/>
      <c r="N146" s="109"/>
      <c r="O146" s="164"/>
      <c r="P146" s="165"/>
      <c r="Q146" s="165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109"/>
      <c r="BC146" s="109"/>
      <c r="BD146" s="109"/>
      <c r="BE146" s="109"/>
      <c r="BF146" s="109"/>
      <c r="BG146" s="109"/>
      <c r="BH146" s="109"/>
      <c r="BI146" s="109"/>
      <c r="BJ146" s="109"/>
      <c r="BK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63"/>
      <c r="J147" s="109"/>
      <c r="K147" s="109"/>
      <c r="L147" s="109"/>
      <c r="M147" s="109"/>
      <c r="N147" s="109"/>
      <c r="O147" s="164"/>
      <c r="P147" s="165"/>
      <c r="Q147" s="165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109"/>
      <c r="BC147" s="109"/>
      <c r="BD147" s="109"/>
      <c r="BE147" s="109"/>
      <c r="BF147" s="109"/>
      <c r="BG147" s="109"/>
      <c r="BH147" s="109"/>
      <c r="BI147" s="109"/>
      <c r="BJ147" s="109"/>
      <c r="BK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63"/>
      <c r="J148" s="109"/>
      <c r="K148" s="109"/>
      <c r="L148" s="109"/>
      <c r="M148" s="109"/>
      <c r="N148" s="109"/>
      <c r="O148" s="164"/>
      <c r="P148" s="165"/>
      <c r="Q148" s="165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109"/>
      <c r="BC148" s="109"/>
      <c r="BD148" s="109"/>
      <c r="BE148" s="109"/>
      <c r="BF148" s="109"/>
      <c r="BG148" s="109"/>
      <c r="BH148" s="109"/>
      <c r="BI148" s="109"/>
      <c r="BJ148" s="109"/>
      <c r="BK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63"/>
      <c r="J149" s="109"/>
      <c r="K149" s="109"/>
      <c r="L149" s="109"/>
      <c r="M149" s="109"/>
      <c r="N149" s="109"/>
      <c r="O149" s="164"/>
      <c r="P149" s="165"/>
      <c r="Q149" s="165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109"/>
      <c r="AX149" s="109"/>
      <c r="AY149" s="109"/>
      <c r="AZ149" s="109"/>
      <c r="BA149" s="109"/>
      <c r="BB149" s="109"/>
      <c r="BC149" s="109"/>
      <c r="BD149" s="109"/>
      <c r="BE149" s="109"/>
      <c r="BF149" s="109"/>
      <c r="BG149" s="109"/>
      <c r="BH149" s="109"/>
      <c r="BI149" s="109"/>
      <c r="BJ149" s="109"/>
      <c r="BK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63"/>
      <c r="J150" s="109"/>
      <c r="K150" s="109"/>
      <c r="L150" s="109"/>
      <c r="M150" s="109"/>
      <c r="N150" s="109"/>
      <c r="O150" s="164"/>
      <c r="P150" s="165"/>
      <c r="Q150" s="165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  <c r="AW150" s="109"/>
      <c r="AX150" s="109"/>
      <c r="AY150" s="109"/>
      <c r="AZ150" s="109"/>
      <c r="BA150" s="109"/>
      <c r="BB150" s="109"/>
      <c r="BC150" s="109"/>
      <c r="BD150" s="109"/>
      <c r="BE150" s="109"/>
      <c r="BF150" s="109"/>
      <c r="BG150" s="109"/>
      <c r="BH150" s="109"/>
      <c r="BI150" s="109"/>
      <c r="BJ150" s="109"/>
      <c r="BK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63"/>
      <c r="J151" s="109"/>
      <c r="K151" s="109"/>
      <c r="L151" s="109"/>
      <c r="M151" s="109"/>
      <c r="N151" s="109"/>
      <c r="O151" s="164"/>
      <c r="P151" s="165"/>
      <c r="Q151" s="165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  <c r="BB151" s="109"/>
      <c r="BC151" s="109"/>
      <c r="BD151" s="109"/>
      <c r="BE151" s="109"/>
      <c r="BF151" s="109"/>
      <c r="BG151" s="109"/>
      <c r="BH151" s="109"/>
      <c r="BI151" s="109"/>
      <c r="BJ151" s="109"/>
      <c r="BK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63"/>
      <c r="J152" s="109"/>
      <c r="K152" s="109"/>
      <c r="L152" s="109"/>
      <c r="M152" s="109"/>
      <c r="N152" s="109"/>
      <c r="O152" s="164"/>
      <c r="P152" s="165"/>
      <c r="Q152" s="165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109"/>
      <c r="BB152" s="109"/>
      <c r="BC152" s="109"/>
      <c r="BD152" s="109"/>
      <c r="BE152" s="109"/>
      <c r="BF152" s="109"/>
      <c r="BG152" s="109"/>
      <c r="BH152" s="109"/>
      <c r="BI152" s="109"/>
      <c r="BJ152" s="109"/>
      <c r="BK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63"/>
      <c r="J153" s="109"/>
      <c r="K153" s="109"/>
      <c r="L153" s="109"/>
      <c r="M153" s="109"/>
      <c r="N153" s="109"/>
      <c r="O153" s="164"/>
      <c r="P153" s="165"/>
      <c r="Q153" s="165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09"/>
      <c r="BB153" s="109"/>
      <c r="BC153" s="109"/>
      <c r="BD153" s="109"/>
      <c r="BE153" s="109"/>
      <c r="BF153" s="109"/>
      <c r="BG153" s="109"/>
      <c r="BH153" s="109"/>
      <c r="BI153" s="109"/>
      <c r="BJ153" s="109"/>
      <c r="BK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63"/>
      <c r="J154" s="109"/>
      <c r="K154" s="109"/>
      <c r="L154" s="109"/>
      <c r="M154" s="109"/>
      <c r="N154" s="109"/>
      <c r="O154" s="164"/>
      <c r="P154" s="165"/>
      <c r="Q154" s="165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109"/>
      <c r="BB154" s="109"/>
      <c r="BC154" s="109"/>
      <c r="BD154" s="109"/>
      <c r="BE154" s="109"/>
      <c r="BF154" s="109"/>
      <c r="BG154" s="109"/>
      <c r="BH154" s="109"/>
      <c r="BI154" s="109"/>
      <c r="BJ154" s="109"/>
      <c r="BK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63"/>
      <c r="J155" s="109"/>
      <c r="K155" s="109"/>
      <c r="L155" s="109"/>
      <c r="M155" s="109"/>
      <c r="N155" s="109"/>
      <c r="O155" s="164"/>
      <c r="P155" s="165"/>
      <c r="Q155" s="165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  <c r="AW155" s="109"/>
      <c r="AX155" s="109"/>
      <c r="AY155" s="109"/>
      <c r="AZ155" s="109"/>
      <c r="BA155" s="109"/>
      <c r="BB155" s="109"/>
      <c r="BC155" s="109"/>
      <c r="BD155" s="109"/>
      <c r="BE155" s="109"/>
      <c r="BF155" s="109"/>
      <c r="BG155" s="109"/>
      <c r="BH155" s="109"/>
      <c r="BI155" s="109"/>
      <c r="BJ155" s="109"/>
      <c r="BK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63"/>
      <c r="J156" s="109"/>
      <c r="K156" s="109"/>
      <c r="L156" s="109"/>
      <c r="M156" s="109"/>
      <c r="N156" s="109"/>
      <c r="O156" s="164"/>
      <c r="P156" s="165"/>
      <c r="Q156" s="165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/>
      <c r="AX156" s="109"/>
      <c r="AY156" s="109"/>
      <c r="AZ156" s="109"/>
      <c r="BA156" s="109"/>
      <c r="BB156" s="109"/>
      <c r="BC156" s="109"/>
      <c r="BD156" s="109"/>
      <c r="BE156" s="109"/>
      <c r="BF156" s="109"/>
      <c r="BG156" s="109"/>
      <c r="BH156" s="109"/>
      <c r="BI156" s="109"/>
      <c r="BJ156" s="109"/>
      <c r="BK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63"/>
      <c r="J157" s="109"/>
      <c r="K157" s="109"/>
      <c r="L157" s="109"/>
      <c r="M157" s="109"/>
      <c r="N157" s="109"/>
      <c r="O157" s="164"/>
      <c r="P157" s="165"/>
      <c r="Q157" s="165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9"/>
      <c r="AX157" s="109"/>
      <c r="AY157" s="109"/>
      <c r="AZ157" s="109"/>
      <c r="BA157" s="109"/>
      <c r="BB157" s="109"/>
      <c r="BC157" s="109"/>
      <c r="BD157" s="109"/>
      <c r="BE157" s="109"/>
      <c r="BF157" s="109"/>
      <c r="BG157" s="109"/>
      <c r="BH157" s="109"/>
      <c r="BI157" s="109"/>
      <c r="BJ157" s="109"/>
      <c r="BK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63"/>
      <c r="J158" s="109"/>
      <c r="K158" s="109"/>
      <c r="L158" s="109"/>
      <c r="M158" s="109"/>
      <c r="N158" s="109"/>
      <c r="O158" s="164"/>
      <c r="P158" s="165"/>
      <c r="Q158" s="165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109"/>
      <c r="BB158" s="109"/>
      <c r="BC158" s="109"/>
      <c r="BD158" s="109"/>
      <c r="BE158" s="109"/>
      <c r="BF158" s="109"/>
      <c r="BG158" s="109"/>
      <c r="BH158" s="109"/>
      <c r="BI158" s="109"/>
      <c r="BJ158" s="109"/>
      <c r="BK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63"/>
      <c r="J159" s="109"/>
      <c r="K159" s="109"/>
      <c r="L159" s="109"/>
      <c r="M159" s="109"/>
      <c r="N159" s="109"/>
      <c r="O159" s="164"/>
      <c r="P159" s="165"/>
      <c r="Q159" s="165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109"/>
      <c r="BB159" s="109"/>
      <c r="BC159" s="109"/>
      <c r="BD159" s="109"/>
      <c r="BE159" s="109"/>
      <c r="BF159" s="109"/>
      <c r="BG159" s="109"/>
      <c r="BH159" s="109"/>
      <c r="BI159" s="109"/>
      <c r="BJ159" s="109"/>
      <c r="BK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63"/>
      <c r="J160" s="109"/>
      <c r="K160" s="109"/>
      <c r="L160" s="109"/>
      <c r="M160" s="109"/>
      <c r="N160" s="109"/>
      <c r="O160" s="164"/>
      <c r="P160" s="165"/>
      <c r="Q160" s="165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109"/>
      <c r="AX160" s="109"/>
      <c r="AY160" s="109"/>
      <c r="AZ160" s="109"/>
      <c r="BA160" s="109"/>
      <c r="BB160" s="109"/>
      <c r="BC160" s="109"/>
      <c r="BD160" s="109"/>
      <c r="BE160" s="109"/>
      <c r="BF160" s="109"/>
      <c r="BG160" s="109"/>
      <c r="BH160" s="109"/>
      <c r="BI160" s="109"/>
      <c r="BJ160" s="109"/>
      <c r="BK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63"/>
      <c r="J161" s="109"/>
      <c r="K161" s="109"/>
      <c r="L161" s="109"/>
      <c r="M161" s="109"/>
      <c r="N161" s="109"/>
      <c r="O161" s="164"/>
      <c r="P161" s="165"/>
      <c r="Q161" s="165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  <c r="BB161" s="109"/>
      <c r="BC161" s="109"/>
      <c r="BD161" s="109"/>
      <c r="BE161" s="109"/>
      <c r="BF161" s="109"/>
      <c r="BG161" s="109"/>
      <c r="BH161" s="109"/>
      <c r="BI161" s="109"/>
      <c r="BJ161" s="109"/>
      <c r="BK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63"/>
      <c r="J162" s="109"/>
      <c r="K162" s="109"/>
      <c r="L162" s="109"/>
      <c r="M162" s="109"/>
      <c r="N162" s="109"/>
      <c r="O162" s="164"/>
      <c r="P162" s="165"/>
      <c r="Q162" s="165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/>
      <c r="AX162" s="109"/>
      <c r="AY162" s="109"/>
      <c r="AZ162" s="109"/>
      <c r="BA162" s="109"/>
      <c r="BB162" s="109"/>
      <c r="BC162" s="109"/>
      <c r="BD162" s="109"/>
      <c r="BE162" s="109"/>
      <c r="BF162" s="109"/>
      <c r="BG162" s="109"/>
      <c r="BH162" s="109"/>
      <c r="BI162" s="109"/>
      <c r="BJ162" s="109"/>
      <c r="BK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63"/>
      <c r="J163" s="109"/>
      <c r="K163" s="109"/>
      <c r="L163" s="109"/>
      <c r="M163" s="109"/>
      <c r="N163" s="109"/>
      <c r="O163" s="164"/>
      <c r="P163" s="165"/>
      <c r="Q163" s="165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  <c r="BE163" s="109"/>
      <c r="BF163" s="109"/>
      <c r="BG163" s="109"/>
      <c r="BH163" s="109"/>
      <c r="BI163" s="109"/>
      <c r="BJ163" s="109"/>
      <c r="BK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63"/>
      <c r="J164" s="109"/>
      <c r="K164" s="109"/>
      <c r="L164" s="109"/>
      <c r="M164" s="109"/>
      <c r="N164" s="109"/>
      <c r="O164" s="164"/>
      <c r="P164" s="165"/>
      <c r="Q164" s="165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109"/>
      <c r="BB164" s="109"/>
      <c r="BC164" s="109"/>
      <c r="BD164" s="109"/>
      <c r="BE164" s="109"/>
      <c r="BF164" s="109"/>
      <c r="BG164" s="109"/>
      <c r="BH164" s="109"/>
      <c r="BI164" s="109"/>
      <c r="BJ164" s="109"/>
      <c r="BK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63"/>
      <c r="J165" s="109"/>
      <c r="K165" s="109"/>
      <c r="L165" s="109"/>
      <c r="M165" s="109"/>
      <c r="N165" s="109"/>
      <c r="O165" s="164"/>
      <c r="P165" s="165"/>
      <c r="Q165" s="165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109"/>
      <c r="BB165" s="109"/>
      <c r="BC165" s="109"/>
      <c r="BD165" s="109"/>
      <c r="BE165" s="109"/>
      <c r="BF165" s="109"/>
      <c r="BG165" s="109"/>
      <c r="BH165" s="109"/>
      <c r="BI165" s="109"/>
      <c r="BJ165" s="109"/>
      <c r="BK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63"/>
      <c r="J166" s="109"/>
      <c r="K166" s="109"/>
      <c r="L166" s="109"/>
      <c r="M166" s="109"/>
      <c r="N166" s="109"/>
      <c r="O166" s="164"/>
      <c r="P166" s="165"/>
      <c r="Q166" s="165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63"/>
      <c r="J167" s="109"/>
      <c r="K167" s="109"/>
      <c r="L167" s="109"/>
      <c r="M167" s="109"/>
      <c r="N167" s="109"/>
      <c r="O167" s="164"/>
      <c r="P167" s="165"/>
      <c r="Q167" s="165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109"/>
      <c r="BB167" s="109"/>
      <c r="BC167" s="109"/>
      <c r="BD167" s="109"/>
      <c r="BE167" s="109"/>
      <c r="BF167" s="109"/>
      <c r="BG167" s="109"/>
      <c r="BH167" s="109"/>
      <c r="BI167" s="109"/>
      <c r="BJ167" s="109"/>
      <c r="BK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63"/>
      <c r="J168" s="109"/>
      <c r="K168" s="109"/>
      <c r="L168" s="109"/>
      <c r="M168" s="109"/>
      <c r="N168" s="109"/>
      <c r="O168" s="164"/>
      <c r="P168" s="165"/>
      <c r="Q168" s="165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  <c r="BB168" s="109"/>
      <c r="BC168" s="109"/>
      <c r="BD168" s="109"/>
      <c r="BE168" s="109"/>
      <c r="BF168" s="109"/>
      <c r="BG168" s="109"/>
      <c r="BH168" s="109"/>
      <c r="BI168" s="109"/>
      <c r="BJ168" s="109"/>
      <c r="BK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63"/>
      <c r="J169" s="109"/>
      <c r="K169" s="109"/>
      <c r="L169" s="109"/>
      <c r="M169" s="109"/>
      <c r="N169" s="109"/>
      <c r="O169" s="164"/>
      <c r="P169" s="165"/>
      <c r="Q169" s="165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109"/>
      <c r="BB169" s="109"/>
      <c r="BC169" s="109"/>
      <c r="BD169" s="109"/>
      <c r="BE169" s="109"/>
      <c r="BF169" s="109"/>
      <c r="BG169" s="109"/>
      <c r="BH169" s="109"/>
      <c r="BI169" s="109"/>
      <c r="BJ169" s="109"/>
      <c r="BK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63"/>
      <c r="J170" s="109"/>
      <c r="K170" s="109"/>
      <c r="L170" s="109"/>
      <c r="M170" s="109"/>
      <c r="N170" s="109"/>
      <c r="O170" s="164"/>
      <c r="P170" s="165"/>
      <c r="Q170" s="165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63"/>
      <c r="J171" s="109"/>
      <c r="K171" s="109"/>
      <c r="L171" s="109"/>
      <c r="M171" s="109"/>
      <c r="N171" s="109"/>
      <c r="O171" s="164"/>
      <c r="P171" s="165"/>
      <c r="Q171" s="165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63"/>
      <c r="J172" s="109"/>
      <c r="K172" s="109"/>
      <c r="L172" s="109"/>
      <c r="M172" s="109"/>
      <c r="N172" s="109"/>
      <c r="O172" s="164"/>
      <c r="P172" s="165"/>
      <c r="Q172" s="165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  <c r="BB172" s="109"/>
      <c r="BC172" s="109"/>
      <c r="BD172" s="109"/>
      <c r="BE172" s="109"/>
      <c r="BF172" s="109"/>
      <c r="BG172" s="109"/>
      <c r="BH172" s="109"/>
      <c r="BI172" s="109"/>
      <c r="BJ172" s="109"/>
      <c r="BK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63"/>
      <c r="J173" s="109"/>
      <c r="K173" s="109"/>
      <c r="L173" s="109"/>
      <c r="M173" s="109"/>
      <c r="N173" s="109"/>
      <c r="O173" s="164"/>
      <c r="P173" s="165"/>
      <c r="Q173" s="165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  <c r="AW173" s="109"/>
      <c r="AX173" s="109"/>
      <c r="AY173" s="109"/>
      <c r="AZ173" s="109"/>
      <c r="BA173" s="109"/>
      <c r="BB173" s="109"/>
      <c r="BC173" s="109"/>
      <c r="BD173" s="109"/>
      <c r="BE173" s="109"/>
      <c r="BF173" s="109"/>
      <c r="BG173" s="109"/>
      <c r="BH173" s="109"/>
      <c r="BI173" s="109"/>
      <c r="BJ173" s="109"/>
      <c r="BK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63"/>
      <c r="J174" s="109"/>
      <c r="K174" s="109"/>
      <c r="L174" s="109"/>
      <c r="M174" s="109"/>
      <c r="N174" s="109"/>
      <c r="O174" s="164"/>
      <c r="P174" s="165"/>
      <c r="Q174" s="165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109"/>
      <c r="BA174" s="109"/>
      <c r="BB174" s="109"/>
      <c r="BC174" s="109"/>
      <c r="BD174" s="109"/>
      <c r="BE174" s="109"/>
      <c r="BF174" s="109"/>
      <c r="BG174" s="109"/>
      <c r="BH174" s="109"/>
      <c r="BI174" s="109"/>
      <c r="BJ174" s="109"/>
      <c r="BK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63"/>
      <c r="J175" s="109"/>
      <c r="K175" s="109"/>
      <c r="L175" s="109"/>
      <c r="M175" s="109"/>
      <c r="N175" s="109"/>
      <c r="O175" s="164"/>
      <c r="P175" s="165"/>
      <c r="Q175" s="165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63"/>
      <c r="J176" s="109"/>
      <c r="K176" s="109"/>
      <c r="L176" s="109"/>
      <c r="M176" s="109"/>
      <c r="N176" s="109"/>
      <c r="O176" s="164"/>
      <c r="P176" s="165"/>
      <c r="Q176" s="165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63"/>
      <c r="J177" s="109"/>
      <c r="K177" s="109"/>
      <c r="L177" s="109"/>
      <c r="M177" s="109"/>
      <c r="N177" s="109"/>
      <c r="O177" s="164"/>
      <c r="P177" s="165"/>
      <c r="Q177" s="165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109"/>
      <c r="BB177" s="109"/>
      <c r="BC177" s="109"/>
      <c r="BD177" s="109"/>
      <c r="BE177" s="109"/>
      <c r="BF177" s="109"/>
      <c r="BG177" s="109"/>
      <c r="BH177" s="109"/>
      <c r="BI177" s="109"/>
      <c r="BJ177" s="109"/>
      <c r="BK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63"/>
      <c r="J178" s="109"/>
      <c r="K178" s="109"/>
      <c r="L178" s="109"/>
      <c r="M178" s="109"/>
      <c r="N178" s="109"/>
      <c r="O178" s="164"/>
      <c r="P178" s="165"/>
      <c r="Q178" s="165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  <c r="BB178" s="109"/>
      <c r="BC178" s="109"/>
      <c r="BD178" s="109"/>
      <c r="BE178" s="109"/>
      <c r="BF178" s="109"/>
      <c r="BG178" s="109"/>
      <c r="BH178" s="109"/>
      <c r="BI178" s="109"/>
      <c r="BJ178" s="109"/>
      <c r="BK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63"/>
      <c r="J179" s="109"/>
      <c r="K179" s="109"/>
      <c r="L179" s="109"/>
      <c r="M179" s="109"/>
      <c r="N179" s="109"/>
      <c r="O179" s="164"/>
      <c r="P179" s="165"/>
      <c r="Q179" s="165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109"/>
      <c r="BB179" s="109"/>
      <c r="BC179" s="109"/>
      <c r="BD179" s="109"/>
      <c r="BE179" s="109"/>
      <c r="BF179" s="109"/>
      <c r="BG179" s="109"/>
      <c r="BH179" s="109"/>
      <c r="BI179" s="109"/>
      <c r="BJ179" s="109"/>
      <c r="BK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63"/>
      <c r="J180" s="109"/>
      <c r="K180" s="109"/>
      <c r="L180" s="109"/>
      <c r="M180" s="109"/>
      <c r="N180" s="109"/>
      <c r="O180" s="164"/>
      <c r="P180" s="165"/>
      <c r="Q180" s="165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109"/>
      <c r="BB180" s="109"/>
      <c r="BC180" s="109"/>
      <c r="BD180" s="109"/>
      <c r="BE180" s="109"/>
      <c r="BF180" s="109"/>
      <c r="BG180" s="109"/>
      <c r="BH180" s="109"/>
      <c r="BI180" s="109"/>
      <c r="BJ180" s="109"/>
      <c r="BK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63"/>
      <c r="J181" s="109"/>
      <c r="K181" s="109"/>
      <c r="L181" s="109"/>
      <c r="M181" s="109"/>
      <c r="N181" s="109"/>
      <c r="O181" s="164"/>
      <c r="P181" s="165"/>
      <c r="Q181" s="165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63"/>
      <c r="J182" s="109"/>
      <c r="K182" s="109"/>
      <c r="L182" s="109"/>
      <c r="M182" s="109"/>
      <c r="N182" s="109"/>
      <c r="O182" s="164"/>
      <c r="P182" s="165"/>
      <c r="Q182" s="165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  <c r="BE182" s="109"/>
      <c r="BF182" s="109"/>
      <c r="BG182" s="109"/>
      <c r="BH182" s="109"/>
      <c r="BI182" s="109"/>
      <c r="BJ182" s="109"/>
      <c r="BK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63"/>
      <c r="J183" s="109"/>
      <c r="K183" s="109"/>
      <c r="L183" s="109"/>
      <c r="M183" s="109"/>
      <c r="N183" s="109"/>
      <c r="O183" s="164"/>
      <c r="P183" s="165"/>
      <c r="Q183" s="165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  <c r="BB183" s="109"/>
      <c r="BC183" s="109"/>
      <c r="BD183" s="109"/>
      <c r="BE183" s="109"/>
      <c r="BF183" s="109"/>
      <c r="BG183" s="109"/>
      <c r="BH183" s="109"/>
      <c r="BI183" s="109"/>
      <c r="BJ183" s="109"/>
      <c r="BK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63"/>
      <c r="J184" s="109"/>
      <c r="K184" s="109"/>
      <c r="L184" s="109"/>
      <c r="M184" s="109"/>
      <c r="N184" s="109"/>
      <c r="O184" s="164"/>
      <c r="P184" s="165"/>
      <c r="Q184" s="165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109"/>
      <c r="BB184" s="109"/>
      <c r="BC184" s="109"/>
      <c r="BD184" s="109"/>
      <c r="BE184" s="109"/>
      <c r="BF184" s="109"/>
      <c r="BG184" s="109"/>
      <c r="BH184" s="109"/>
      <c r="BI184" s="109"/>
      <c r="BJ184" s="109"/>
      <c r="BK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63"/>
      <c r="J185" s="109"/>
      <c r="K185" s="109"/>
      <c r="L185" s="109"/>
      <c r="M185" s="109"/>
      <c r="N185" s="109"/>
      <c r="O185" s="164"/>
      <c r="P185" s="165"/>
      <c r="Q185" s="165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63"/>
      <c r="J186" s="109"/>
      <c r="K186" s="109"/>
      <c r="L186" s="109"/>
      <c r="M186" s="109"/>
      <c r="N186" s="109"/>
      <c r="O186" s="164"/>
      <c r="P186" s="165"/>
      <c r="Q186" s="165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  <c r="AW186" s="109"/>
      <c r="AX186" s="109"/>
      <c r="AY186" s="109"/>
      <c r="AZ186" s="109"/>
      <c r="BA186" s="109"/>
      <c r="BB186" s="109"/>
      <c r="BC186" s="109"/>
      <c r="BD186" s="109"/>
      <c r="BE186" s="109"/>
      <c r="BF186" s="109"/>
      <c r="BG186" s="109"/>
      <c r="BH186" s="109"/>
      <c r="BI186" s="109"/>
      <c r="BJ186" s="109"/>
      <c r="BK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63"/>
      <c r="J187" s="109"/>
      <c r="K187" s="109"/>
      <c r="L187" s="109"/>
      <c r="M187" s="109"/>
      <c r="N187" s="109"/>
      <c r="O187" s="164"/>
      <c r="P187" s="165"/>
      <c r="Q187" s="165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63"/>
      <c r="J188" s="109"/>
      <c r="K188" s="109"/>
      <c r="L188" s="109"/>
      <c r="M188" s="109"/>
      <c r="N188" s="109"/>
      <c r="O188" s="164"/>
      <c r="P188" s="165"/>
      <c r="Q188" s="165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  <c r="AW188" s="109"/>
      <c r="AX188" s="109"/>
      <c r="AY188" s="109"/>
      <c r="AZ188" s="109"/>
      <c r="BA188" s="109"/>
      <c r="BB188" s="109"/>
      <c r="BC188" s="109"/>
      <c r="BD188" s="109"/>
      <c r="BE188" s="109"/>
      <c r="BF188" s="109"/>
      <c r="BG188" s="109"/>
      <c r="BH188" s="109"/>
      <c r="BI188" s="109"/>
      <c r="BJ188" s="109"/>
      <c r="BK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63"/>
      <c r="J189" s="109"/>
      <c r="K189" s="109"/>
      <c r="L189" s="109"/>
      <c r="M189" s="109"/>
      <c r="N189" s="109"/>
      <c r="O189" s="164"/>
      <c r="P189" s="165"/>
      <c r="Q189" s="165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109"/>
      <c r="BB189" s="109"/>
      <c r="BC189" s="109"/>
      <c r="BD189" s="109"/>
      <c r="BE189" s="109"/>
      <c r="BF189" s="109"/>
      <c r="BG189" s="109"/>
      <c r="BH189" s="109"/>
      <c r="BI189" s="109"/>
      <c r="BJ189" s="109"/>
      <c r="BK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63"/>
      <c r="J190" s="109"/>
      <c r="K190" s="109"/>
      <c r="L190" s="109"/>
      <c r="M190" s="109"/>
      <c r="N190" s="109"/>
      <c r="O190" s="164"/>
      <c r="P190" s="165"/>
      <c r="Q190" s="165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109"/>
      <c r="BB190" s="109"/>
      <c r="BC190" s="109"/>
      <c r="BD190" s="109"/>
      <c r="BE190" s="109"/>
      <c r="BF190" s="109"/>
      <c r="BG190" s="109"/>
      <c r="BH190" s="109"/>
      <c r="BI190" s="109"/>
      <c r="BJ190" s="109"/>
      <c r="BK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63"/>
      <c r="J191" s="109"/>
      <c r="K191" s="109"/>
      <c r="L191" s="109"/>
      <c r="M191" s="109"/>
      <c r="N191" s="109"/>
      <c r="O191" s="164"/>
      <c r="P191" s="165"/>
      <c r="Q191" s="165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09"/>
      <c r="BE191" s="109"/>
      <c r="BF191" s="109"/>
      <c r="BG191" s="109"/>
      <c r="BH191" s="109"/>
      <c r="BI191" s="109"/>
      <c r="BJ191" s="109"/>
      <c r="BK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63"/>
      <c r="J192" s="109"/>
      <c r="K192" s="109"/>
      <c r="L192" s="109"/>
      <c r="M192" s="109"/>
      <c r="N192" s="109"/>
      <c r="O192" s="164"/>
      <c r="P192" s="165"/>
      <c r="Q192" s="165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  <c r="BE192" s="109"/>
      <c r="BF192" s="109"/>
      <c r="BG192" s="109"/>
      <c r="BH192" s="109"/>
      <c r="BI192" s="109"/>
      <c r="BJ192" s="109"/>
      <c r="BK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63"/>
      <c r="J193" s="109"/>
      <c r="K193" s="109"/>
      <c r="L193" s="109"/>
      <c r="M193" s="109"/>
      <c r="N193" s="109"/>
      <c r="O193" s="164"/>
      <c r="P193" s="165"/>
      <c r="Q193" s="165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  <c r="BB193" s="109"/>
      <c r="BC193" s="109"/>
      <c r="BD193" s="109"/>
      <c r="BE193" s="109"/>
      <c r="BF193" s="109"/>
      <c r="BG193" s="109"/>
      <c r="BH193" s="109"/>
      <c r="BI193" s="109"/>
      <c r="BJ193" s="109"/>
      <c r="BK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63"/>
      <c r="J194" s="109"/>
      <c r="K194" s="109"/>
      <c r="L194" s="109"/>
      <c r="M194" s="109"/>
      <c r="N194" s="109"/>
      <c r="O194" s="164"/>
      <c r="P194" s="165"/>
      <c r="Q194" s="165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  <c r="BB194" s="109"/>
      <c r="BC194" s="109"/>
      <c r="BD194" s="109"/>
      <c r="BE194" s="109"/>
      <c r="BF194" s="109"/>
      <c r="BG194" s="109"/>
      <c r="BH194" s="109"/>
      <c r="BI194" s="109"/>
      <c r="BJ194" s="109"/>
      <c r="BK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63"/>
      <c r="J195" s="109"/>
      <c r="K195" s="109"/>
      <c r="L195" s="109"/>
      <c r="M195" s="109"/>
      <c r="N195" s="109"/>
      <c r="O195" s="164"/>
      <c r="P195" s="165"/>
      <c r="Q195" s="165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63"/>
      <c r="J196" s="109"/>
      <c r="K196" s="109"/>
      <c r="L196" s="109"/>
      <c r="M196" s="109"/>
      <c r="N196" s="109"/>
      <c r="O196" s="164"/>
      <c r="P196" s="165"/>
      <c r="Q196" s="165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  <c r="BB196" s="109"/>
      <c r="BC196" s="109"/>
      <c r="BD196" s="109"/>
      <c r="BE196" s="109"/>
      <c r="BF196" s="109"/>
      <c r="BG196" s="109"/>
      <c r="BH196" s="109"/>
      <c r="BI196" s="109"/>
      <c r="BJ196" s="109"/>
      <c r="BK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63"/>
      <c r="J197" s="109"/>
      <c r="K197" s="109"/>
      <c r="L197" s="109"/>
      <c r="M197" s="109"/>
      <c r="N197" s="109"/>
      <c r="O197" s="164"/>
      <c r="P197" s="165"/>
      <c r="Q197" s="165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  <c r="BB197" s="109"/>
      <c r="BC197" s="109"/>
      <c r="BD197" s="109"/>
      <c r="BE197" s="109"/>
      <c r="BF197" s="109"/>
      <c r="BG197" s="109"/>
      <c r="BH197" s="109"/>
      <c r="BI197" s="109"/>
      <c r="BJ197" s="109"/>
      <c r="BK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63"/>
      <c r="J198" s="109"/>
      <c r="K198" s="109"/>
      <c r="L198" s="109"/>
      <c r="M198" s="109"/>
      <c r="N198" s="109"/>
      <c r="O198" s="164"/>
      <c r="P198" s="165"/>
      <c r="Q198" s="165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  <c r="BE198" s="109"/>
      <c r="BF198" s="109"/>
      <c r="BG198" s="109"/>
      <c r="BH198" s="109"/>
      <c r="BI198" s="109"/>
      <c r="BJ198" s="109"/>
      <c r="BK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63"/>
      <c r="J199" s="109"/>
      <c r="K199" s="109"/>
      <c r="L199" s="109"/>
      <c r="M199" s="109"/>
      <c r="N199" s="109"/>
      <c r="O199" s="164"/>
      <c r="P199" s="165"/>
      <c r="Q199" s="165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109"/>
      <c r="BB199" s="109"/>
      <c r="BC199" s="109"/>
      <c r="BD199" s="109"/>
      <c r="BE199" s="109"/>
      <c r="BF199" s="109"/>
      <c r="BG199" s="109"/>
      <c r="BH199" s="109"/>
      <c r="BI199" s="109"/>
      <c r="BJ199" s="109"/>
      <c r="BK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63"/>
      <c r="J200" s="109"/>
      <c r="K200" s="109"/>
      <c r="L200" s="109"/>
      <c r="M200" s="109"/>
      <c r="N200" s="109"/>
      <c r="O200" s="164"/>
      <c r="P200" s="165"/>
      <c r="Q200" s="165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  <c r="BB200" s="109"/>
      <c r="BC200" s="109"/>
      <c r="BD200" s="109"/>
      <c r="BE200" s="109"/>
      <c r="BF200" s="109"/>
      <c r="BG200" s="109"/>
      <c r="BH200" s="109"/>
      <c r="BI200" s="109"/>
      <c r="BJ200" s="109"/>
      <c r="BK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63"/>
      <c r="J201" s="109"/>
      <c r="K201" s="109"/>
      <c r="L201" s="109"/>
      <c r="M201" s="109"/>
      <c r="N201" s="109"/>
      <c r="O201" s="164"/>
      <c r="P201" s="165"/>
      <c r="Q201" s="165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109"/>
      <c r="BB201" s="109"/>
      <c r="BC201" s="109"/>
      <c r="BD201" s="109"/>
      <c r="BE201" s="109"/>
      <c r="BF201" s="109"/>
      <c r="BG201" s="109"/>
      <c r="BH201" s="109"/>
      <c r="BI201" s="109"/>
      <c r="BJ201" s="109"/>
      <c r="BK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63"/>
      <c r="J202" s="109"/>
      <c r="K202" s="109"/>
      <c r="L202" s="109"/>
      <c r="M202" s="109"/>
      <c r="N202" s="109"/>
      <c r="O202" s="164"/>
      <c r="P202" s="165"/>
      <c r="Q202" s="165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109"/>
      <c r="BB202" s="109"/>
      <c r="BC202" s="109"/>
      <c r="BD202" s="109"/>
      <c r="BE202" s="109"/>
      <c r="BF202" s="109"/>
      <c r="BG202" s="109"/>
      <c r="BH202" s="109"/>
      <c r="BI202" s="109"/>
      <c r="BJ202" s="109"/>
      <c r="BK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63"/>
      <c r="J203" s="109"/>
      <c r="K203" s="109"/>
      <c r="L203" s="109"/>
      <c r="M203" s="109"/>
      <c r="N203" s="109"/>
      <c r="O203" s="164"/>
      <c r="P203" s="165"/>
      <c r="Q203" s="165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  <c r="AW203" s="109"/>
      <c r="AX203" s="109"/>
      <c r="AY203" s="109"/>
      <c r="AZ203" s="109"/>
      <c r="BA203" s="109"/>
      <c r="BB203" s="109"/>
      <c r="BC203" s="109"/>
      <c r="BD203" s="109"/>
      <c r="BE203" s="109"/>
      <c r="BF203" s="109"/>
      <c r="BG203" s="109"/>
      <c r="BH203" s="109"/>
      <c r="BI203" s="109"/>
      <c r="BJ203" s="109"/>
      <c r="BK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63"/>
      <c r="J204" s="109"/>
      <c r="K204" s="109"/>
      <c r="L204" s="109"/>
      <c r="M204" s="109"/>
      <c r="N204" s="109"/>
      <c r="O204" s="164"/>
      <c r="P204" s="165"/>
      <c r="Q204" s="165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/>
      <c r="AX204" s="109"/>
      <c r="AY204" s="109"/>
      <c r="AZ204" s="109"/>
      <c r="BA204" s="109"/>
      <c r="BB204" s="109"/>
      <c r="BC204" s="109"/>
      <c r="BD204" s="109"/>
      <c r="BE204" s="109"/>
      <c r="BF204" s="109"/>
      <c r="BG204" s="109"/>
      <c r="BH204" s="109"/>
      <c r="BI204" s="109"/>
      <c r="BJ204" s="109"/>
      <c r="BK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63"/>
      <c r="J205" s="109"/>
      <c r="K205" s="109"/>
      <c r="L205" s="109"/>
      <c r="M205" s="109"/>
      <c r="N205" s="109"/>
      <c r="O205" s="164"/>
      <c r="P205" s="165"/>
      <c r="Q205" s="165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9"/>
      <c r="AY205" s="109"/>
      <c r="AZ205" s="109"/>
      <c r="BA205" s="109"/>
      <c r="BB205" s="109"/>
      <c r="BC205" s="109"/>
      <c r="BD205" s="109"/>
      <c r="BE205" s="109"/>
      <c r="BF205" s="109"/>
      <c r="BG205" s="109"/>
      <c r="BH205" s="109"/>
      <c r="BI205" s="109"/>
      <c r="BJ205" s="109"/>
      <c r="BK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63"/>
      <c r="J206" s="109"/>
      <c r="K206" s="109"/>
      <c r="L206" s="109"/>
      <c r="M206" s="109"/>
      <c r="N206" s="109"/>
      <c r="O206" s="164"/>
      <c r="P206" s="165"/>
      <c r="Q206" s="165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9"/>
      <c r="AY206" s="109"/>
      <c r="AZ206" s="109"/>
      <c r="BA206" s="109"/>
      <c r="BB206" s="109"/>
      <c r="BC206" s="109"/>
      <c r="BD206" s="109"/>
      <c r="BE206" s="109"/>
      <c r="BF206" s="109"/>
      <c r="BG206" s="109"/>
      <c r="BH206" s="109"/>
      <c r="BI206" s="109"/>
      <c r="BJ206" s="109"/>
      <c r="BK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63"/>
      <c r="J207" s="109"/>
      <c r="K207" s="109"/>
      <c r="L207" s="109"/>
      <c r="M207" s="109"/>
      <c r="N207" s="109"/>
      <c r="O207" s="164"/>
      <c r="P207" s="165"/>
      <c r="Q207" s="165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  <c r="AW207" s="109"/>
      <c r="AX207" s="109"/>
      <c r="AY207" s="109"/>
      <c r="AZ207" s="109"/>
      <c r="BA207" s="109"/>
      <c r="BB207" s="109"/>
      <c r="BC207" s="109"/>
      <c r="BD207" s="109"/>
      <c r="BE207" s="109"/>
      <c r="BF207" s="109"/>
      <c r="BG207" s="109"/>
      <c r="BH207" s="109"/>
      <c r="BI207" s="109"/>
      <c r="BJ207" s="109"/>
      <c r="BK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63"/>
      <c r="J208" s="109"/>
      <c r="K208" s="109"/>
      <c r="L208" s="109"/>
      <c r="M208" s="109"/>
      <c r="N208" s="109"/>
      <c r="O208" s="164"/>
      <c r="P208" s="165"/>
      <c r="Q208" s="165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  <c r="AW208" s="109"/>
      <c r="AX208" s="109"/>
      <c r="AY208" s="109"/>
      <c r="AZ208" s="109"/>
      <c r="BA208" s="109"/>
      <c r="BB208" s="109"/>
      <c r="BC208" s="109"/>
      <c r="BD208" s="109"/>
      <c r="BE208" s="109"/>
      <c r="BF208" s="109"/>
      <c r="BG208" s="109"/>
      <c r="BH208" s="109"/>
      <c r="BI208" s="109"/>
      <c r="BJ208" s="109"/>
      <c r="BK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63"/>
      <c r="J209" s="109"/>
      <c r="K209" s="109"/>
      <c r="L209" s="109"/>
      <c r="M209" s="109"/>
      <c r="N209" s="109"/>
      <c r="O209" s="164"/>
      <c r="P209" s="165"/>
      <c r="Q209" s="165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63"/>
      <c r="J210" s="109"/>
      <c r="K210" s="109"/>
      <c r="L210" s="109"/>
      <c r="M210" s="109"/>
      <c r="N210" s="109"/>
      <c r="O210" s="164"/>
      <c r="P210" s="165"/>
      <c r="Q210" s="165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  <c r="AW210" s="109"/>
      <c r="AX210" s="109"/>
      <c r="AY210" s="109"/>
      <c r="AZ210" s="109"/>
      <c r="BA210" s="109"/>
      <c r="BB210" s="109"/>
      <c r="BC210" s="109"/>
      <c r="BD210" s="109"/>
      <c r="BE210" s="109"/>
      <c r="BF210" s="109"/>
      <c r="BG210" s="109"/>
      <c r="BH210" s="109"/>
      <c r="BI210" s="109"/>
      <c r="BJ210" s="109"/>
      <c r="BK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63"/>
      <c r="J211" s="109"/>
      <c r="K211" s="109"/>
      <c r="L211" s="109"/>
      <c r="M211" s="109"/>
      <c r="N211" s="109"/>
      <c r="O211" s="164"/>
      <c r="P211" s="165"/>
      <c r="Q211" s="165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63"/>
      <c r="J212" s="109"/>
      <c r="K212" s="109"/>
      <c r="L212" s="109"/>
      <c r="M212" s="109"/>
      <c r="N212" s="109"/>
      <c r="O212" s="164"/>
      <c r="P212" s="165"/>
      <c r="Q212" s="165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  <c r="AW212" s="109"/>
      <c r="AX212" s="109"/>
      <c r="AY212" s="109"/>
      <c r="AZ212" s="109"/>
      <c r="BA212" s="109"/>
      <c r="BB212" s="109"/>
      <c r="BC212" s="109"/>
      <c r="BD212" s="109"/>
      <c r="BE212" s="109"/>
      <c r="BF212" s="109"/>
      <c r="BG212" s="109"/>
      <c r="BH212" s="109"/>
      <c r="BI212" s="109"/>
      <c r="BJ212" s="109"/>
      <c r="BK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63"/>
      <c r="J213" s="109"/>
      <c r="K213" s="109"/>
      <c r="L213" s="109"/>
      <c r="M213" s="109"/>
      <c r="N213" s="109"/>
      <c r="O213" s="164"/>
      <c r="P213" s="165"/>
      <c r="Q213" s="165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  <c r="AW213" s="109"/>
      <c r="AX213" s="109"/>
      <c r="AY213" s="109"/>
      <c r="AZ213" s="109"/>
      <c r="BA213" s="109"/>
      <c r="BB213" s="109"/>
      <c r="BC213" s="109"/>
      <c r="BD213" s="109"/>
      <c r="BE213" s="109"/>
      <c r="BF213" s="109"/>
      <c r="BG213" s="109"/>
      <c r="BH213" s="109"/>
      <c r="BI213" s="109"/>
      <c r="BJ213" s="109"/>
      <c r="BK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63"/>
      <c r="J214" s="109"/>
      <c r="K214" s="109"/>
      <c r="L214" s="109"/>
      <c r="M214" s="109"/>
      <c r="N214" s="109"/>
      <c r="O214" s="164"/>
      <c r="P214" s="165"/>
      <c r="Q214" s="165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  <c r="AW214" s="109"/>
      <c r="AX214" s="109"/>
      <c r="AY214" s="109"/>
      <c r="AZ214" s="109"/>
      <c r="BA214" s="109"/>
      <c r="BB214" s="109"/>
      <c r="BC214" s="109"/>
      <c r="BD214" s="109"/>
      <c r="BE214" s="109"/>
      <c r="BF214" s="109"/>
      <c r="BG214" s="109"/>
      <c r="BH214" s="109"/>
      <c r="BI214" s="109"/>
      <c r="BJ214" s="109"/>
      <c r="BK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63"/>
      <c r="J215" s="109"/>
      <c r="K215" s="109"/>
      <c r="L215" s="109"/>
      <c r="M215" s="109"/>
      <c r="N215" s="109"/>
      <c r="O215" s="164"/>
      <c r="P215" s="165"/>
      <c r="Q215" s="165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  <c r="AW215" s="109"/>
      <c r="AX215" s="109"/>
      <c r="AY215" s="109"/>
      <c r="AZ215" s="109"/>
      <c r="BA215" s="109"/>
      <c r="BB215" s="109"/>
      <c r="BC215" s="109"/>
      <c r="BD215" s="109"/>
      <c r="BE215" s="109"/>
      <c r="BF215" s="109"/>
      <c r="BG215" s="109"/>
      <c r="BH215" s="109"/>
      <c r="BI215" s="109"/>
      <c r="BJ215" s="109"/>
      <c r="BK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63"/>
      <c r="J216" s="109"/>
      <c r="K216" s="109"/>
      <c r="L216" s="109"/>
      <c r="M216" s="109"/>
      <c r="N216" s="109"/>
      <c r="O216" s="164"/>
      <c r="P216" s="165"/>
      <c r="Q216" s="165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  <c r="AW216" s="109"/>
      <c r="AX216" s="109"/>
      <c r="AY216" s="109"/>
      <c r="AZ216" s="109"/>
      <c r="BA216" s="109"/>
      <c r="BB216" s="109"/>
      <c r="BC216" s="109"/>
      <c r="BD216" s="109"/>
      <c r="BE216" s="109"/>
      <c r="BF216" s="109"/>
      <c r="BG216" s="109"/>
      <c r="BH216" s="109"/>
      <c r="BI216" s="109"/>
      <c r="BJ216" s="109"/>
      <c r="BK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63"/>
      <c r="J217" s="109"/>
      <c r="K217" s="109"/>
      <c r="L217" s="109"/>
      <c r="M217" s="109"/>
      <c r="N217" s="109"/>
      <c r="O217" s="164"/>
      <c r="P217" s="165"/>
      <c r="Q217" s="165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  <c r="AW217" s="109"/>
      <c r="AX217" s="109"/>
      <c r="AY217" s="109"/>
      <c r="AZ217" s="109"/>
      <c r="BA217" s="109"/>
      <c r="BB217" s="109"/>
      <c r="BC217" s="109"/>
      <c r="BD217" s="109"/>
      <c r="BE217" s="109"/>
      <c r="BF217" s="109"/>
      <c r="BG217" s="109"/>
      <c r="BH217" s="109"/>
      <c r="BI217" s="109"/>
      <c r="BJ217" s="109"/>
      <c r="BK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63"/>
      <c r="J218" s="109"/>
      <c r="K218" s="109"/>
      <c r="L218" s="109"/>
      <c r="M218" s="109"/>
      <c r="N218" s="109"/>
      <c r="O218" s="164"/>
      <c r="P218" s="165"/>
      <c r="Q218" s="165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  <c r="AW218" s="109"/>
      <c r="AX218" s="109"/>
      <c r="AY218" s="109"/>
      <c r="AZ218" s="109"/>
      <c r="BA218" s="109"/>
      <c r="BB218" s="109"/>
      <c r="BC218" s="109"/>
      <c r="BD218" s="109"/>
      <c r="BE218" s="109"/>
      <c r="BF218" s="109"/>
      <c r="BG218" s="109"/>
      <c r="BH218" s="109"/>
      <c r="BI218" s="109"/>
      <c r="BJ218" s="109"/>
      <c r="BK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63"/>
      <c r="J219" s="109"/>
      <c r="K219" s="109"/>
      <c r="L219" s="109"/>
      <c r="M219" s="109"/>
      <c r="N219" s="109"/>
      <c r="O219" s="164"/>
      <c r="P219" s="165"/>
      <c r="Q219" s="165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Q219" s="109"/>
      <c r="AR219" s="109"/>
      <c r="AS219" s="109"/>
      <c r="AT219" s="109"/>
      <c r="AU219" s="109"/>
      <c r="AV219" s="109"/>
      <c r="AW219" s="109"/>
      <c r="AX219" s="109"/>
      <c r="AY219" s="109"/>
      <c r="AZ219" s="109"/>
      <c r="BA219" s="109"/>
      <c r="BB219" s="109"/>
      <c r="BC219" s="109"/>
      <c r="BD219" s="109"/>
      <c r="BE219" s="109"/>
      <c r="BF219" s="109"/>
      <c r="BG219" s="109"/>
      <c r="BH219" s="109"/>
      <c r="BI219" s="109"/>
      <c r="BJ219" s="109"/>
      <c r="BK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63"/>
      <c r="J220" s="109"/>
      <c r="K220" s="109"/>
      <c r="L220" s="109"/>
      <c r="M220" s="109"/>
      <c r="N220" s="109"/>
      <c r="O220" s="164"/>
      <c r="P220" s="165"/>
      <c r="Q220" s="165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  <c r="AW220" s="109"/>
      <c r="AX220" s="109"/>
      <c r="AY220" s="109"/>
      <c r="AZ220" s="109"/>
      <c r="BA220" s="109"/>
      <c r="BB220" s="109"/>
      <c r="BC220" s="109"/>
      <c r="BD220" s="109"/>
      <c r="BE220" s="109"/>
      <c r="BF220" s="109"/>
      <c r="BG220" s="109"/>
      <c r="BH220" s="109"/>
      <c r="BI220" s="109"/>
      <c r="BJ220" s="109"/>
      <c r="BK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63"/>
      <c r="J221" s="109"/>
      <c r="K221" s="109"/>
      <c r="L221" s="109"/>
      <c r="M221" s="109"/>
      <c r="N221" s="109"/>
      <c r="O221" s="164"/>
      <c r="P221" s="165"/>
      <c r="Q221" s="165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  <c r="AW221" s="109"/>
      <c r="AX221" s="109"/>
      <c r="AY221" s="109"/>
      <c r="AZ221" s="109"/>
      <c r="BA221" s="109"/>
      <c r="BB221" s="109"/>
      <c r="BC221" s="109"/>
      <c r="BD221" s="109"/>
      <c r="BE221" s="109"/>
      <c r="BF221" s="109"/>
      <c r="BG221" s="109"/>
      <c r="BH221" s="109"/>
      <c r="BI221" s="109"/>
      <c r="BJ221" s="109"/>
      <c r="BK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63"/>
      <c r="J222" s="109"/>
      <c r="K222" s="109"/>
      <c r="L222" s="109"/>
      <c r="M222" s="109"/>
      <c r="N222" s="109"/>
      <c r="O222" s="164"/>
      <c r="P222" s="165"/>
      <c r="Q222" s="165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  <c r="AW222" s="109"/>
      <c r="AX222" s="109"/>
      <c r="AY222" s="109"/>
      <c r="AZ222" s="109"/>
      <c r="BA222" s="109"/>
      <c r="BB222" s="109"/>
      <c r="BC222" s="109"/>
      <c r="BD222" s="109"/>
      <c r="BE222" s="109"/>
      <c r="BF222" s="109"/>
      <c r="BG222" s="109"/>
      <c r="BH222" s="109"/>
      <c r="BI222" s="109"/>
      <c r="BJ222" s="109"/>
      <c r="BK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63"/>
      <c r="J223" s="109"/>
      <c r="K223" s="109"/>
      <c r="L223" s="109"/>
      <c r="M223" s="109"/>
      <c r="N223" s="109"/>
      <c r="O223" s="164"/>
      <c r="P223" s="165"/>
      <c r="Q223" s="165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  <c r="AW223" s="109"/>
      <c r="AX223" s="109"/>
      <c r="AY223" s="109"/>
      <c r="AZ223" s="109"/>
      <c r="BA223" s="109"/>
      <c r="BB223" s="109"/>
      <c r="BC223" s="109"/>
      <c r="BD223" s="109"/>
      <c r="BE223" s="109"/>
      <c r="BF223" s="109"/>
      <c r="BG223" s="109"/>
      <c r="BH223" s="109"/>
      <c r="BI223" s="109"/>
      <c r="BJ223" s="109"/>
      <c r="BK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63"/>
      <c r="J224" s="109"/>
      <c r="K224" s="109"/>
      <c r="L224" s="109"/>
      <c r="M224" s="109"/>
      <c r="N224" s="109"/>
      <c r="O224" s="164"/>
      <c r="P224" s="165"/>
      <c r="Q224" s="165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  <c r="AW224" s="109"/>
      <c r="AX224" s="109"/>
      <c r="AY224" s="109"/>
      <c r="AZ224" s="109"/>
      <c r="BA224" s="109"/>
      <c r="BB224" s="109"/>
      <c r="BC224" s="109"/>
      <c r="BD224" s="109"/>
      <c r="BE224" s="109"/>
      <c r="BF224" s="109"/>
      <c r="BG224" s="109"/>
      <c r="BH224" s="109"/>
      <c r="BI224" s="109"/>
      <c r="BJ224" s="109"/>
      <c r="BK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63"/>
      <c r="J225" s="109"/>
      <c r="K225" s="109"/>
      <c r="L225" s="109"/>
      <c r="M225" s="109"/>
      <c r="N225" s="109"/>
      <c r="O225" s="164"/>
      <c r="P225" s="165"/>
      <c r="Q225" s="165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  <c r="AW225" s="109"/>
      <c r="AX225" s="109"/>
      <c r="AY225" s="109"/>
      <c r="AZ225" s="109"/>
      <c r="BA225" s="109"/>
      <c r="BB225" s="109"/>
      <c r="BC225" s="109"/>
      <c r="BD225" s="109"/>
      <c r="BE225" s="109"/>
      <c r="BF225" s="109"/>
      <c r="BG225" s="109"/>
      <c r="BH225" s="109"/>
      <c r="BI225" s="109"/>
      <c r="BJ225" s="109"/>
      <c r="BK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63"/>
      <c r="J226" s="109"/>
      <c r="K226" s="109"/>
      <c r="L226" s="109"/>
      <c r="M226" s="109"/>
      <c r="N226" s="109"/>
      <c r="O226" s="164"/>
      <c r="P226" s="165"/>
      <c r="Q226" s="165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  <c r="AW226" s="109"/>
      <c r="AX226" s="109"/>
      <c r="AY226" s="109"/>
      <c r="AZ226" s="109"/>
      <c r="BA226" s="109"/>
      <c r="BB226" s="109"/>
      <c r="BC226" s="109"/>
      <c r="BD226" s="109"/>
      <c r="BE226" s="109"/>
      <c r="BF226" s="109"/>
      <c r="BG226" s="109"/>
      <c r="BH226" s="109"/>
      <c r="BI226" s="109"/>
      <c r="BJ226" s="109"/>
      <c r="BK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63"/>
      <c r="J227" s="109"/>
      <c r="K227" s="109"/>
      <c r="L227" s="109"/>
      <c r="M227" s="109"/>
      <c r="N227" s="109"/>
      <c r="O227" s="164"/>
      <c r="P227" s="165"/>
      <c r="Q227" s="165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  <c r="AW227" s="109"/>
      <c r="AX227" s="109"/>
      <c r="AY227" s="109"/>
      <c r="AZ227" s="109"/>
      <c r="BA227" s="109"/>
      <c r="BB227" s="109"/>
      <c r="BC227" s="109"/>
      <c r="BD227" s="109"/>
      <c r="BE227" s="109"/>
      <c r="BF227" s="109"/>
      <c r="BG227" s="109"/>
      <c r="BH227" s="109"/>
      <c r="BI227" s="109"/>
      <c r="BJ227" s="109"/>
      <c r="BK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63"/>
      <c r="J228" s="109"/>
      <c r="K228" s="109"/>
      <c r="L228" s="109"/>
      <c r="M228" s="109"/>
      <c r="N228" s="109"/>
      <c r="O228" s="164"/>
      <c r="P228" s="165"/>
      <c r="Q228" s="165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  <c r="AW228" s="109"/>
      <c r="AX228" s="109"/>
      <c r="AY228" s="109"/>
      <c r="AZ228" s="109"/>
      <c r="BA228" s="109"/>
      <c r="BB228" s="109"/>
      <c r="BC228" s="109"/>
      <c r="BD228" s="109"/>
      <c r="BE228" s="109"/>
      <c r="BF228" s="109"/>
      <c r="BG228" s="109"/>
      <c r="BH228" s="109"/>
      <c r="BI228" s="109"/>
      <c r="BJ228" s="109"/>
      <c r="BK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63"/>
      <c r="J229" s="109"/>
      <c r="K229" s="109"/>
      <c r="L229" s="109"/>
      <c r="M229" s="109"/>
      <c r="N229" s="109"/>
      <c r="O229" s="164"/>
      <c r="P229" s="165"/>
      <c r="Q229" s="165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  <c r="AW229" s="109"/>
      <c r="AX229" s="109"/>
      <c r="AY229" s="109"/>
      <c r="AZ229" s="109"/>
      <c r="BA229" s="109"/>
      <c r="BB229" s="109"/>
      <c r="BC229" s="109"/>
      <c r="BD229" s="109"/>
      <c r="BE229" s="109"/>
      <c r="BF229" s="109"/>
      <c r="BG229" s="109"/>
      <c r="BH229" s="109"/>
      <c r="BI229" s="109"/>
      <c r="BJ229" s="109"/>
      <c r="BK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63"/>
      <c r="J230" s="109"/>
      <c r="K230" s="109"/>
      <c r="L230" s="109"/>
      <c r="M230" s="109"/>
      <c r="N230" s="109"/>
      <c r="O230" s="164"/>
      <c r="P230" s="165"/>
      <c r="Q230" s="165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  <c r="AW230" s="109"/>
      <c r="AX230" s="109"/>
      <c r="AY230" s="109"/>
      <c r="AZ230" s="109"/>
      <c r="BA230" s="109"/>
      <c r="BB230" s="109"/>
      <c r="BC230" s="109"/>
      <c r="BD230" s="109"/>
      <c r="BE230" s="109"/>
      <c r="BF230" s="109"/>
      <c r="BG230" s="109"/>
      <c r="BH230" s="109"/>
      <c r="BI230" s="109"/>
      <c r="BJ230" s="109"/>
      <c r="BK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63"/>
      <c r="J231" s="109"/>
      <c r="K231" s="109"/>
      <c r="L231" s="109"/>
      <c r="M231" s="109"/>
      <c r="N231" s="109"/>
      <c r="O231" s="164"/>
      <c r="P231" s="165"/>
      <c r="Q231" s="165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/>
      <c r="AY231" s="109"/>
      <c r="AZ231" s="109"/>
      <c r="BA231" s="109"/>
      <c r="BB231" s="109"/>
      <c r="BC231" s="109"/>
      <c r="BD231" s="109"/>
      <c r="BE231" s="109"/>
      <c r="BF231" s="109"/>
      <c r="BG231" s="109"/>
      <c r="BH231" s="109"/>
      <c r="BI231" s="109"/>
      <c r="BJ231" s="109"/>
      <c r="BK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63"/>
      <c r="J232" s="109"/>
      <c r="K232" s="109"/>
      <c r="L232" s="109"/>
      <c r="M232" s="109"/>
      <c r="N232" s="109"/>
      <c r="O232" s="164"/>
      <c r="P232" s="165"/>
      <c r="Q232" s="165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  <c r="BB232" s="109"/>
      <c r="BC232" s="109"/>
      <c r="BD232" s="109"/>
      <c r="BE232" s="109"/>
      <c r="BF232" s="109"/>
      <c r="BG232" s="109"/>
      <c r="BH232" s="109"/>
      <c r="BI232" s="109"/>
      <c r="BJ232" s="109"/>
      <c r="BK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63"/>
      <c r="J233" s="109"/>
      <c r="K233" s="109"/>
      <c r="L233" s="109"/>
      <c r="M233" s="109"/>
      <c r="N233" s="109"/>
      <c r="O233" s="164"/>
      <c r="P233" s="165"/>
      <c r="Q233" s="165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  <c r="BB233" s="109"/>
      <c r="BC233" s="109"/>
      <c r="BD233" s="109"/>
      <c r="BE233" s="109"/>
      <c r="BF233" s="109"/>
      <c r="BG233" s="109"/>
      <c r="BH233" s="109"/>
      <c r="BI233" s="109"/>
      <c r="BJ233" s="109"/>
      <c r="BK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63"/>
      <c r="J234" s="109"/>
      <c r="K234" s="109"/>
      <c r="L234" s="109"/>
      <c r="M234" s="109"/>
      <c r="N234" s="109"/>
      <c r="O234" s="164"/>
      <c r="P234" s="165"/>
      <c r="Q234" s="165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  <c r="AZ234" s="109"/>
      <c r="BA234" s="109"/>
      <c r="BB234" s="109"/>
      <c r="BC234" s="109"/>
      <c r="BD234" s="109"/>
      <c r="BE234" s="109"/>
      <c r="BF234" s="109"/>
      <c r="BG234" s="109"/>
      <c r="BH234" s="109"/>
      <c r="BI234" s="109"/>
      <c r="BJ234" s="109"/>
      <c r="BK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63"/>
      <c r="J235" s="109"/>
      <c r="K235" s="109"/>
      <c r="L235" s="109"/>
      <c r="M235" s="109"/>
      <c r="N235" s="109"/>
      <c r="O235" s="164"/>
      <c r="P235" s="165"/>
      <c r="Q235" s="165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  <c r="AW235" s="109"/>
      <c r="AX235" s="109"/>
      <c r="AY235" s="109"/>
      <c r="AZ235" s="109"/>
      <c r="BA235" s="109"/>
      <c r="BB235" s="109"/>
      <c r="BC235" s="109"/>
      <c r="BD235" s="109"/>
      <c r="BE235" s="109"/>
      <c r="BF235" s="109"/>
      <c r="BG235" s="109"/>
      <c r="BH235" s="109"/>
      <c r="BI235" s="109"/>
      <c r="BJ235" s="109"/>
      <c r="BK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63"/>
      <c r="J236" s="109"/>
      <c r="K236" s="109"/>
      <c r="L236" s="109"/>
      <c r="M236" s="109"/>
      <c r="N236" s="109"/>
      <c r="O236" s="164"/>
      <c r="P236" s="165"/>
      <c r="Q236" s="165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  <c r="BE236" s="109"/>
      <c r="BF236" s="109"/>
      <c r="BG236" s="109"/>
      <c r="BH236" s="109"/>
      <c r="BI236" s="109"/>
      <c r="BJ236" s="109"/>
      <c r="BK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63"/>
      <c r="J237" s="109"/>
      <c r="K237" s="109"/>
      <c r="L237" s="109"/>
      <c r="M237" s="109"/>
      <c r="N237" s="109"/>
      <c r="O237" s="164"/>
      <c r="P237" s="165"/>
      <c r="Q237" s="165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  <c r="BB237" s="109"/>
      <c r="BC237" s="109"/>
      <c r="BD237" s="109"/>
      <c r="BE237" s="109"/>
      <c r="BF237" s="109"/>
      <c r="BG237" s="109"/>
      <c r="BH237" s="109"/>
      <c r="BI237" s="109"/>
      <c r="BJ237" s="109"/>
      <c r="BK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63"/>
      <c r="J238" s="109"/>
      <c r="K238" s="109"/>
      <c r="L238" s="109"/>
      <c r="M238" s="109"/>
      <c r="N238" s="109"/>
      <c r="O238" s="164"/>
      <c r="P238" s="165"/>
      <c r="Q238" s="165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  <c r="AW238" s="109"/>
      <c r="AX238" s="109"/>
      <c r="AY238" s="109"/>
      <c r="AZ238" s="109"/>
      <c r="BA238" s="109"/>
      <c r="BB238" s="109"/>
      <c r="BC238" s="109"/>
      <c r="BD238" s="109"/>
      <c r="BE238" s="109"/>
      <c r="BF238" s="109"/>
      <c r="BG238" s="109"/>
      <c r="BH238" s="109"/>
      <c r="BI238" s="109"/>
      <c r="BJ238" s="109"/>
      <c r="BK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63"/>
      <c r="J239" s="109"/>
      <c r="K239" s="109"/>
      <c r="L239" s="109"/>
      <c r="M239" s="109"/>
      <c r="N239" s="109"/>
      <c r="O239" s="164"/>
      <c r="P239" s="165"/>
      <c r="Q239" s="165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  <c r="AW239" s="109"/>
      <c r="AX239" s="109"/>
      <c r="AY239" s="109"/>
      <c r="AZ239" s="109"/>
      <c r="BA239" s="109"/>
      <c r="BB239" s="109"/>
      <c r="BC239" s="109"/>
      <c r="BD239" s="109"/>
      <c r="BE239" s="109"/>
      <c r="BF239" s="109"/>
      <c r="BG239" s="109"/>
      <c r="BH239" s="109"/>
      <c r="BI239" s="109"/>
      <c r="BJ239" s="109"/>
      <c r="BK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63"/>
      <c r="J240" s="109"/>
      <c r="K240" s="109"/>
      <c r="L240" s="109"/>
      <c r="M240" s="109"/>
      <c r="N240" s="109"/>
      <c r="O240" s="164"/>
      <c r="P240" s="165"/>
      <c r="Q240" s="165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/>
      <c r="AX240" s="109"/>
      <c r="AY240" s="109"/>
      <c r="AZ240" s="109"/>
      <c r="BA240" s="109"/>
      <c r="BB240" s="109"/>
      <c r="BC240" s="109"/>
      <c r="BD240" s="109"/>
      <c r="BE240" s="109"/>
      <c r="BF240" s="109"/>
      <c r="BG240" s="109"/>
      <c r="BH240" s="109"/>
      <c r="BI240" s="109"/>
      <c r="BJ240" s="109"/>
      <c r="BK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63"/>
      <c r="J241" s="109"/>
      <c r="K241" s="109"/>
      <c r="L241" s="109"/>
      <c r="M241" s="109"/>
      <c r="N241" s="109"/>
      <c r="O241" s="164"/>
      <c r="P241" s="165"/>
      <c r="Q241" s="165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/>
      <c r="AW241" s="109"/>
      <c r="AX241" s="109"/>
      <c r="AY241" s="109"/>
      <c r="AZ241" s="109"/>
      <c r="BA241" s="109"/>
      <c r="BB241" s="109"/>
      <c r="BC241" s="109"/>
      <c r="BD241" s="109"/>
      <c r="BE241" s="109"/>
      <c r="BF241" s="109"/>
      <c r="BG241" s="109"/>
      <c r="BH241" s="109"/>
      <c r="BI241" s="109"/>
      <c r="BJ241" s="109"/>
      <c r="BK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63"/>
      <c r="J242" s="109"/>
      <c r="K242" s="109"/>
      <c r="L242" s="109"/>
      <c r="M242" s="109"/>
      <c r="N242" s="109"/>
      <c r="O242" s="164"/>
      <c r="P242" s="165"/>
      <c r="Q242" s="165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/>
      <c r="AY242" s="109"/>
      <c r="AZ242" s="109"/>
      <c r="BA242" s="109"/>
      <c r="BB242" s="109"/>
      <c r="BC242" s="109"/>
      <c r="BD242" s="109"/>
      <c r="BE242" s="109"/>
      <c r="BF242" s="109"/>
      <c r="BG242" s="109"/>
      <c r="BH242" s="109"/>
      <c r="BI242" s="109"/>
      <c r="BJ242" s="109"/>
      <c r="BK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63"/>
      <c r="J243" s="109"/>
      <c r="K243" s="109"/>
      <c r="L243" s="109"/>
      <c r="M243" s="109"/>
      <c r="N243" s="109"/>
      <c r="O243" s="164"/>
      <c r="P243" s="165"/>
      <c r="Q243" s="165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09"/>
      <c r="AS243" s="109"/>
      <c r="AT243" s="109"/>
      <c r="AU243" s="109"/>
      <c r="AV243" s="109"/>
      <c r="AW243" s="109"/>
      <c r="AX243" s="109"/>
      <c r="AY243" s="109"/>
      <c r="AZ243" s="109"/>
      <c r="BA243" s="109"/>
      <c r="BB243" s="109"/>
      <c r="BC243" s="109"/>
      <c r="BD243" s="109"/>
      <c r="BE243" s="109"/>
      <c r="BF243" s="109"/>
      <c r="BG243" s="109"/>
      <c r="BH243" s="109"/>
      <c r="BI243" s="109"/>
      <c r="BJ243" s="109"/>
      <c r="BK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63"/>
      <c r="J244" s="109"/>
      <c r="K244" s="109"/>
      <c r="L244" s="109"/>
      <c r="M244" s="109"/>
      <c r="N244" s="109"/>
      <c r="O244" s="164"/>
      <c r="P244" s="165"/>
      <c r="Q244" s="165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09"/>
      <c r="AY244" s="109"/>
      <c r="AZ244" s="109"/>
      <c r="BA244" s="109"/>
      <c r="BB244" s="109"/>
      <c r="BC244" s="109"/>
      <c r="BD244" s="109"/>
      <c r="BE244" s="109"/>
      <c r="BF244" s="109"/>
      <c r="BG244" s="109"/>
      <c r="BH244" s="109"/>
      <c r="BI244" s="109"/>
      <c r="BJ244" s="109"/>
      <c r="BK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63"/>
      <c r="J245" s="109"/>
      <c r="K245" s="109"/>
      <c r="L245" s="109"/>
      <c r="M245" s="109"/>
      <c r="N245" s="109"/>
      <c r="O245" s="164"/>
      <c r="P245" s="165"/>
      <c r="Q245" s="165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  <c r="AU245" s="109"/>
      <c r="AV245" s="109"/>
      <c r="AW245" s="109"/>
      <c r="AX245" s="109"/>
      <c r="AY245" s="109"/>
      <c r="AZ245" s="109"/>
      <c r="BA245" s="109"/>
      <c r="BB245" s="109"/>
      <c r="BC245" s="109"/>
      <c r="BD245" s="109"/>
      <c r="BE245" s="109"/>
      <c r="BF245" s="109"/>
      <c r="BG245" s="109"/>
      <c r="BH245" s="109"/>
      <c r="BI245" s="109"/>
      <c r="BJ245" s="109"/>
      <c r="BK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63"/>
      <c r="J246" s="109"/>
      <c r="K246" s="109"/>
      <c r="L246" s="109"/>
      <c r="M246" s="109"/>
      <c r="N246" s="109"/>
      <c r="O246" s="164"/>
      <c r="P246" s="165"/>
      <c r="Q246" s="165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  <c r="AU246" s="109"/>
      <c r="AV246" s="109"/>
      <c r="AW246" s="109"/>
      <c r="AX246" s="109"/>
      <c r="AY246" s="109"/>
      <c r="AZ246" s="109"/>
      <c r="BA246" s="109"/>
      <c r="BB246" s="109"/>
      <c r="BC246" s="109"/>
      <c r="BD246" s="109"/>
      <c r="BE246" s="109"/>
      <c r="BF246" s="109"/>
      <c r="BG246" s="109"/>
      <c r="BH246" s="109"/>
      <c r="BI246" s="109"/>
      <c r="BJ246" s="109"/>
      <c r="BK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63"/>
      <c r="J247" s="109"/>
      <c r="K247" s="109"/>
      <c r="L247" s="109"/>
      <c r="M247" s="109"/>
      <c r="N247" s="109"/>
      <c r="O247" s="164"/>
      <c r="P247" s="165"/>
      <c r="Q247" s="165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9"/>
      <c r="AV247" s="109"/>
      <c r="AW247" s="109"/>
      <c r="AX247" s="109"/>
      <c r="AY247" s="109"/>
      <c r="AZ247" s="109"/>
      <c r="BA247" s="109"/>
      <c r="BB247" s="109"/>
      <c r="BC247" s="109"/>
      <c r="BD247" s="109"/>
      <c r="BE247" s="109"/>
      <c r="BF247" s="109"/>
      <c r="BG247" s="109"/>
      <c r="BH247" s="109"/>
      <c r="BI247" s="109"/>
      <c r="BJ247" s="109"/>
      <c r="BK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63"/>
      <c r="J248" s="109"/>
      <c r="K248" s="109"/>
      <c r="L248" s="109"/>
      <c r="M248" s="109"/>
      <c r="N248" s="109"/>
      <c r="O248" s="164"/>
      <c r="P248" s="165"/>
      <c r="Q248" s="165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109"/>
      <c r="AY248" s="109"/>
      <c r="AZ248" s="109"/>
      <c r="BA248" s="109"/>
      <c r="BB248" s="109"/>
      <c r="BC248" s="109"/>
      <c r="BD248" s="109"/>
      <c r="BE248" s="109"/>
      <c r="BF248" s="109"/>
      <c r="BG248" s="109"/>
      <c r="BH248" s="109"/>
      <c r="BI248" s="109"/>
      <c r="BJ248" s="109"/>
      <c r="BK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63"/>
      <c r="J249" s="109"/>
      <c r="K249" s="109"/>
      <c r="L249" s="109"/>
      <c r="M249" s="109"/>
      <c r="N249" s="109"/>
      <c r="O249" s="164"/>
      <c r="P249" s="165"/>
      <c r="Q249" s="165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  <c r="AU249" s="109"/>
      <c r="AV249" s="109"/>
      <c r="AW249" s="109"/>
      <c r="AX249" s="109"/>
      <c r="AY249" s="109"/>
      <c r="AZ249" s="109"/>
      <c r="BA249" s="109"/>
      <c r="BB249" s="109"/>
      <c r="BC249" s="109"/>
      <c r="BD249" s="109"/>
      <c r="BE249" s="109"/>
      <c r="BF249" s="109"/>
      <c r="BG249" s="109"/>
      <c r="BH249" s="109"/>
      <c r="BI249" s="109"/>
      <c r="BJ249" s="109"/>
      <c r="BK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63"/>
      <c r="J250" s="109"/>
      <c r="K250" s="109"/>
      <c r="L250" s="109"/>
      <c r="M250" s="109"/>
      <c r="N250" s="109"/>
      <c r="O250" s="164"/>
      <c r="P250" s="165"/>
      <c r="Q250" s="165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  <c r="AU250" s="109"/>
      <c r="AV250" s="109"/>
      <c r="AW250" s="109"/>
      <c r="AX250" s="109"/>
      <c r="AY250" s="109"/>
      <c r="AZ250" s="109"/>
      <c r="BA250" s="109"/>
      <c r="BB250" s="109"/>
      <c r="BC250" s="109"/>
      <c r="BD250" s="109"/>
      <c r="BE250" s="109"/>
      <c r="BF250" s="109"/>
      <c r="BG250" s="109"/>
      <c r="BH250" s="109"/>
      <c r="BI250" s="109"/>
      <c r="BJ250" s="109"/>
      <c r="BK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63"/>
      <c r="J251" s="109"/>
      <c r="K251" s="109"/>
      <c r="L251" s="109"/>
      <c r="M251" s="109"/>
      <c r="N251" s="109"/>
      <c r="O251" s="164"/>
      <c r="P251" s="165"/>
      <c r="Q251" s="165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  <c r="AU251" s="109"/>
      <c r="AV251" s="109"/>
      <c r="AW251" s="109"/>
      <c r="AX251" s="109"/>
      <c r="AY251" s="109"/>
      <c r="AZ251" s="109"/>
      <c r="BA251" s="109"/>
      <c r="BB251" s="109"/>
      <c r="BC251" s="109"/>
      <c r="BD251" s="109"/>
      <c r="BE251" s="109"/>
      <c r="BF251" s="109"/>
      <c r="BG251" s="109"/>
      <c r="BH251" s="109"/>
      <c r="BI251" s="109"/>
      <c r="BJ251" s="109"/>
      <c r="BK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63"/>
      <c r="J252" s="109"/>
      <c r="K252" s="109"/>
      <c r="L252" s="109"/>
      <c r="M252" s="109"/>
      <c r="N252" s="109"/>
      <c r="O252" s="164"/>
      <c r="P252" s="165"/>
      <c r="Q252" s="165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Q252" s="109"/>
      <c r="AR252" s="109"/>
      <c r="AS252" s="109"/>
      <c r="AT252" s="109"/>
      <c r="AU252" s="109"/>
      <c r="AV252" s="109"/>
      <c r="AW252" s="109"/>
      <c r="AX252" s="109"/>
      <c r="AY252" s="109"/>
      <c r="AZ252" s="109"/>
      <c r="BA252" s="109"/>
      <c r="BB252" s="109"/>
      <c r="BC252" s="109"/>
      <c r="BD252" s="109"/>
      <c r="BE252" s="109"/>
      <c r="BF252" s="109"/>
      <c r="BG252" s="109"/>
      <c r="BH252" s="109"/>
      <c r="BI252" s="109"/>
      <c r="BJ252" s="109"/>
      <c r="BK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63"/>
      <c r="J253" s="109"/>
      <c r="K253" s="109"/>
      <c r="L253" s="109"/>
      <c r="M253" s="109"/>
      <c r="N253" s="109"/>
      <c r="O253" s="164"/>
      <c r="P253" s="165"/>
      <c r="Q253" s="165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109"/>
      <c r="AR253" s="109"/>
      <c r="AS253" s="109"/>
      <c r="AT253" s="109"/>
      <c r="AU253" s="109"/>
      <c r="AV253" s="109"/>
      <c r="AW253" s="109"/>
      <c r="AX253" s="109"/>
      <c r="AY253" s="109"/>
      <c r="AZ253" s="109"/>
      <c r="BA253" s="109"/>
      <c r="BB253" s="109"/>
      <c r="BC253" s="109"/>
      <c r="BD253" s="109"/>
      <c r="BE253" s="109"/>
      <c r="BF253" s="109"/>
      <c r="BG253" s="109"/>
      <c r="BH253" s="109"/>
      <c r="BI253" s="109"/>
      <c r="BJ253" s="109"/>
      <c r="BK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63"/>
      <c r="J254" s="109"/>
      <c r="K254" s="109"/>
      <c r="L254" s="109"/>
      <c r="M254" s="109"/>
      <c r="N254" s="109"/>
      <c r="O254" s="164"/>
      <c r="P254" s="165"/>
      <c r="Q254" s="165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  <c r="AO254" s="109"/>
      <c r="AP254" s="109"/>
      <c r="AQ254" s="109"/>
      <c r="AR254" s="109"/>
      <c r="AS254" s="109"/>
      <c r="AT254" s="109"/>
      <c r="AU254" s="109"/>
      <c r="AV254" s="109"/>
      <c r="AW254" s="109"/>
      <c r="AX254" s="109"/>
      <c r="AY254" s="109"/>
      <c r="AZ254" s="109"/>
      <c r="BA254" s="109"/>
      <c r="BB254" s="109"/>
      <c r="BC254" s="109"/>
      <c r="BD254" s="109"/>
      <c r="BE254" s="109"/>
      <c r="BF254" s="109"/>
      <c r="BG254" s="109"/>
      <c r="BH254" s="109"/>
      <c r="BI254" s="109"/>
      <c r="BJ254" s="109"/>
      <c r="BK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63"/>
      <c r="J255" s="109"/>
      <c r="K255" s="109"/>
      <c r="L255" s="109"/>
      <c r="M255" s="109"/>
      <c r="N255" s="109"/>
      <c r="O255" s="164"/>
      <c r="P255" s="165"/>
      <c r="Q255" s="165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Q255" s="109"/>
      <c r="AR255" s="109"/>
      <c r="AS255" s="109"/>
      <c r="AT255" s="109"/>
      <c r="AU255" s="109"/>
      <c r="AV255" s="109"/>
      <c r="AW255" s="109"/>
      <c r="AX255" s="109"/>
      <c r="AY255" s="109"/>
      <c r="AZ255" s="109"/>
      <c r="BA255" s="109"/>
      <c r="BB255" s="109"/>
      <c r="BC255" s="109"/>
      <c r="BD255" s="109"/>
      <c r="BE255" s="109"/>
      <c r="BF255" s="109"/>
      <c r="BG255" s="109"/>
      <c r="BH255" s="109"/>
      <c r="BI255" s="109"/>
      <c r="BJ255" s="109"/>
      <c r="BK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63"/>
      <c r="J256" s="109"/>
      <c r="K256" s="109"/>
      <c r="L256" s="109"/>
      <c r="M256" s="109"/>
      <c r="N256" s="109"/>
      <c r="O256" s="164"/>
      <c r="P256" s="165"/>
      <c r="Q256" s="165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  <c r="AO256" s="109"/>
      <c r="AP256" s="109"/>
      <c r="AQ256" s="109"/>
      <c r="AR256" s="109"/>
      <c r="AS256" s="109"/>
      <c r="AT256" s="109"/>
      <c r="AU256" s="109"/>
      <c r="AV256" s="109"/>
      <c r="AW256" s="109"/>
      <c r="AX256" s="109"/>
      <c r="AY256" s="109"/>
      <c r="AZ256" s="109"/>
      <c r="BA256" s="109"/>
      <c r="BB256" s="109"/>
      <c r="BC256" s="109"/>
      <c r="BD256" s="109"/>
      <c r="BE256" s="109"/>
      <c r="BF256" s="109"/>
      <c r="BG256" s="109"/>
      <c r="BH256" s="109"/>
      <c r="BI256" s="109"/>
      <c r="BJ256" s="109"/>
      <c r="BK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63"/>
      <c r="J257" s="109"/>
      <c r="K257" s="109"/>
      <c r="L257" s="109"/>
      <c r="M257" s="109"/>
      <c r="N257" s="109"/>
      <c r="O257" s="164"/>
      <c r="P257" s="165"/>
      <c r="Q257" s="165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Q257" s="109"/>
      <c r="AR257" s="109"/>
      <c r="AS257" s="109"/>
      <c r="AT257" s="109"/>
      <c r="AU257" s="109"/>
      <c r="AV257" s="109"/>
      <c r="AW257" s="109"/>
      <c r="AX257" s="109"/>
      <c r="AY257" s="109"/>
      <c r="AZ257" s="109"/>
      <c r="BA257" s="109"/>
      <c r="BB257" s="109"/>
      <c r="BC257" s="109"/>
      <c r="BD257" s="109"/>
      <c r="BE257" s="109"/>
      <c r="BF257" s="109"/>
      <c r="BG257" s="109"/>
      <c r="BH257" s="109"/>
      <c r="BI257" s="109"/>
      <c r="BJ257" s="109"/>
      <c r="BK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63"/>
      <c r="J258" s="109"/>
      <c r="K258" s="109"/>
      <c r="L258" s="109"/>
      <c r="M258" s="109"/>
      <c r="N258" s="109"/>
      <c r="O258" s="164"/>
      <c r="P258" s="165"/>
      <c r="Q258" s="165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  <c r="AO258" s="109"/>
      <c r="AP258" s="109"/>
      <c r="AQ258" s="109"/>
      <c r="AR258" s="109"/>
      <c r="AS258" s="109"/>
      <c r="AT258" s="109"/>
      <c r="AU258" s="109"/>
      <c r="AV258" s="109"/>
      <c r="AW258" s="109"/>
      <c r="AX258" s="109"/>
      <c r="AY258" s="109"/>
      <c r="AZ258" s="109"/>
      <c r="BA258" s="109"/>
      <c r="BB258" s="109"/>
      <c r="BC258" s="109"/>
      <c r="BD258" s="109"/>
      <c r="BE258" s="109"/>
      <c r="BF258" s="109"/>
      <c r="BG258" s="109"/>
      <c r="BH258" s="109"/>
      <c r="BI258" s="109"/>
      <c r="BJ258" s="109"/>
      <c r="BK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63"/>
      <c r="J259" s="109"/>
      <c r="K259" s="109"/>
      <c r="L259" s="109"/>
      <c r="M259" s="109"/>
      <c r="N259" s="109"/>
      <c r="O259" s="164"/>
      <c r="P259" s="165"/>
      <c r="Q259" s="165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63"/>
      <c r="J260" s="109"/>
      <c r="K260" s="109"/>
      <c r="L260" s="109"/>
      <c r="M260" s="109"/>
      <c r="N260" s="109"/>
      <c r="O260" s="164"/>
      <c r="P260" s="165"/>
      <c r="Q260" s="165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09"/>
      <c r="BA260" s="109"/>
      <c r="BB260" s="109"/>
      <c r="BC260" s="109"/>
      <c r="BD260" s="109"/>
      <c r="BE260" s="109"/>
      <c r="BF260" s="109"/>
      <c r="BG260" s="109"/>
      <c r="BH260" s="109"/>
      <c r="BI260" s="109"/>
      <c r="BJ260" s="109"/>
      <c r="BK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63"/>
      <c r="J261" s="109"/>
      <c r="K261" s="109"/>
      <c r="L261" s="109"/>
      <c r="M261" s="109"/>
      <c r="N261" s="109"/>
      <c r="O261" s="164"/>
      <c r="P261" s="165"/>
      <c r="Q261" s="165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/>
      <c r="AU261" s="109"/>
      <c r="AV261" s="109"/>
      <c r="AW261" s="109"/>
      <c r="AX261" s="109"/>
      <c r="AY261" s="109"/>
      <c r="AZ261" s="109"/>
      <c r="BA261" s="109"/>
      <c r="BB261" s="109"/>
      <c r="BC261" s="109"/>
      <c r="BD261" s="109"/>
      <c r="BE261" s="109"/>
      <c r="BF261" s="109"/>
      <c r="BG261" s="109"/>
      <c r="BH261" s="109"/>
      <c r="BI261" s="109"/>
      <c r="BJ261" s="109"/>
      <c r="BK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63"/>
      <c r="J262" s="109"/>
      <c r="K262" s="109"/>
      <c r="L262" s="109"/>
      <c r="M262" s="109"/>
      <c r="N262" s="109"/>
      <c r="O262" s="164"/>
      <c r="P262" s="165"/>
      <c r="Q262" s="165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  <c r="AO262" s="109"/>
      <c r="AP262" s="109"/>
      <c r="AQ262" s="109"/>
      <c r="AR262" s="109"/>
      <c r="AS262" s="109"/>
      <c r="AT262" s="109"/>
      <c r="AU262" s="109"/>
      <c r="AV262" s="109"/>
      <c r="AW262" s="109"/>
      <c r="AX262" s="109"/>
      <c r="AY262" s="109"/>
      <c r="AZ262" s="109"/>
      <c r="BA262" s="109"/>
      <c r="BB262" s="109"/>
      <c r="BC262" s="109"/>
      <c r="BD262" s="109"/>
      <c r="BE262" s="109"/>
      <c r="BF262" s="109"/>
      <c r="BG262" s="109"/>
      <c r="BH262" s="109"/>
      <c r="BI262" s="109"/>
      <c r="BJ262" s="109"/>
      <c r="BK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63"/>
      <c r="J263" s="109"/>
      <c r="K263" s="109"/>
      <c r="L263" s="109"/>
      <c r="M263" s="109"/>
      <c r="N263" s="109"/>
      <c r="O263" s="164"/>
      <c r="P263" s="165"/>
      <c r="Q263" s="165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  <c r="AU263" s="109"/>
      <c r="AV263" s="109"/>
      <c r="AW263" s="109"/>
      <c r="AX263" s="109"/>
      <c r="AY263" s="109"/>
      <c r="AZ263" s="109"/>
      <c r="BA263" s="109"/>
      <c r="BB263" s="109"/>
      <c r="BC263" s="109"/>
      <c r="BD263" s="109"/>
      <c r="BE263" s="109"/>
      <c r="BF263" s="109"/>
      <c r="BG263" s="109"/>
      <c r="BH263" s="109"/>
      <c r="BI263" s="109"/>
      <c r="BJ263" s="109"/>
      <c r="BK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63"/>
      <c r="J264" s="109"/>
      <c r="K264" s="109"/>
      <c r="L264" s="109"/>
      <c r="M264" s="109"/>
      <c r="N264" s="109"/>
      <c r="O264" s="164"/>
      <c r="P264" s="165"/>
      <c r="Q264" s="165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  <c r="AO264" s="109"/>
      <c r="AP264" s="109"/>
      <c r="AQ264" s="109"/>
      <c r="AR264" s="109"/>
      <c r="AS264" s="109"/>
      <c r="AT264" s="109"/>
      <c r="AU264" s="109"/>
      <c r="AV264" s="109"/>
      <c r="AW264" s="109"/>
      <c r="AX264" s="109"/>
      <c r="AY264" s="109"/>
      <c r="AZ264" s="109"/>
      <c r="BA264" s="109"/>
      <c r="BB264" s="109"/>
      <c r="BC264" s="109"/>
      <c r="BD264" s="109"/>
      <c r="BE264" s="109"/>
      <c r="BF264" s="109"/>
      <c r="BG264" s="109"/>
      <c r="BH264" s="109"/>
      <c r="BI264" s="109"/>
      <c r="BJ264" s="109"/>
      <c r="BK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63"/>
      <c r="J265" s="109"/>
      <c r="K265" s="109"/>
      <c r="L265" s="109"/>
      <c r="M265" s="109"/>
      <c r="N265" s="109"/>
      <c r="O265" s="164"/>
      <c r="P265" s="165"/>
      <c r="Q265" s="165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Q265" s="109"/>
      <c r="AR265" s="109"/>
      <c r="AS265" s="109"/>
      <c r="AT265" s="109"/>
      <c r="AU265" s="109"/>
      <c r="AV265" s="109"/>
      <c r="AW265" s="109"/>
      <c r="AX265" s="109"/>
      <c r="AY265" s="109"/>
      <c r="AZ265" s="109"/>
      <c r="BA265" s="109"/>
      <c r="BB265" s="109"/>
      <c r="BC265" s="109"/>
      <c r="BD265" s="109"/>
      <c r="BE265" s="109"/>
      <c r="BF265" s="109"/>
      <c r="BG265" s="109"/>
      <c r="BH265" s="109"/>
      <c r="BI265" s="109"/>
      <c r="BJ265" s="109"/>
      <c r="BK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63"/>
      <c r="J266" s="109"/>
      <c r="K266" s="109"/>
      <c r="L266" s="109"/>
      <c r="M266" s="109"/>
      <c r="N266" s="109"/>
      <c r="O266" s="164"/>
      <c r="P266" s="165"/>
      <c r="Q266" s="165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  <c r="AO266" s="109"/>
      <c r="AP266" s="109"/>
      <c r="AQ266" s="109"/>
      <c r="AR266" s="109"/>
      <c r="AS266" s="109"/>
      <c r="AT266" s="109"/>
      <c r="AU266" s="109"/>
      <c r="AV266" s="109"/>
      <c r="AW266" s="109"/>
      <c r="AX266" s="109"/>
      <c r="AY266" s="109"/>
      <c r="AZ266" s="109"/>
      <c r="BA266" s="109"/>
      <c r="BB266" s="109"/>
      <c r="BC266" s="109"/>
      <c r="BD266" s="109"/>
      <c r="BE266" s="109"/>
      <c r="BF266" s="109"/>
      <c r="BG266" s="109"/>
      <c r="BH266" s="109"/>
      <c r="BI266" s="109"/>
      <c r="BJ266" s="109"/>
      <c r="BK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63"/>
      <c r="J267" s="109"/>
      <c r="K267" s="109"/>
      <c r="L267" s="109"/>
      <c r="M267" s="109"/>
      <c r="N267" s="109"/>
      <c r="O267" s="164"/>
      <c r="P267" s="165"/>
      <c r="Q267" s="165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Q267" s="109"/>
      <c r="AR267" s="109"/>
      <c r="AS267" s="109"/>
      <c r="AT267" s="109"/>
      <c r="AU267" s="109"/>
      <c r="AV267" s="109"/>
      <c r="AW267" s="109"/>
      <c r="AX267" s="109"/>
      <c r="AY267" s="109"/>
      <c r="AZ267" s="109"/>
      <c r="BA267" s="109"/>
      <c r="BB267" s="109"/>
      <c r="BC267" s="109"/>
      <c r="BD267" s="109"/>
      <c r="BE267" s="109"/>
      <c r="BF267" s="109"/>
      <c r="BG267" s="109"/>
      <c r="BH267" s="109"/>
      <c r="BI267" s="109"/>
      <c r="BJ267" s="109"/>
      <c r="BK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63"/>
      <c r="J268" s="109"/>
      <c r="K268" s="109"/>
      <c r="L268" s="109"/>
      <c r="M268" s="109"/>
      <c r="N268" s="109"/>
      <c r="O268" s="164"/>
      <c r="P268" s="165"/>
      <c r="Q268" s="165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  <c r="AO268" s="109"/>
      <c r="AP268" s="109"/>
      <c r="AQ268" s="109"/>
      <c r="AR268" s="109"/>
      <c r="AS268" s="109"/>
      <c r="AT268" s="109"/>
      <c r="AU268" s="109"/>
      <c r="AV268" s="109"/>
      <c r="AW268" s="109"/>
      <c r="AX268" s="109"/>
      <c r="AY268" s="109"/>
      <c r="AZ268" s="109"/>
      <c r="BA268" s="109"/>
      <c r="BB268" s="109"/>
      <c r="BC268" s="109"/>
      <c r="BD268" s="109"/>
      <c r="BE268" s="109"/>
      <c r="BF268" s="109"/>
      <c r="BG268" s="109"/>
      <c r="BH268" s="109"/>
      <c r="BI268" s="109"/>
      <c r="BJ268" s="109"/>
      <c r="BK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63"/>
      <c r="J269" s="109"/>
      <c r="K269" s="109"/>
      <c r="L269" s="109"/>
      <c r="M269" s="109"/>
      <c r="N269" s="109"/>
      <c r="O269" s="164"/>
      <c r="P269" s="165"/>
      <c r="Q269" s="165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Q269" s="109"/>
      <c r="AR269" s="109"/>
      <c r="AS269" s="109"/>
      <c r="AT269" s="109"/>
      <c r="AU269" s="109"/>
      <c r="AV269" s="109"/>
      <c r="AW269" s="109"/>
      <c r="AX269" s="109"/>
      <c r="AY269" s="109"/>
      <c r="AZ269" s="109"/>
      <c r="BA269" s="109"/>
      <c r="BB269" s="109"/>
      <c r="BC269" s="109"/>
      <c r="BD269" s="109"/>
      <c r="BE269" s="109"/>
      <c r="BF269" s="109"/>
      <c r="BG269" s="109"/>
      <c r="BH269" s="109"/>
      <c r="BI269" s="109"/>
      <c r="BJ269" s="109"/>
      <c r="BK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63"/>
      <c r="J270" s="109"/>
      <c r="K270" s="109"/>
      <c r="L270" s="109"/>
      <c r="M270" s="109"/>
      <c r="N270" s="109"/>
      <c r="O270" s="164"/>
      <c r="P270" s="165"/>
      <c r="Q270" s="165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  <c r="AO270" s="109"/>
      <c r="AP270" s="109"/>
      <c r="AQ270" s="109"/>
      <c r="AR270" s="109"/>
      <c r="AS270" s="109"/>
      <c r="AT270" s="109"/>
      <c r="AU270" s="109"/>
      <c r="AV270" s="109"/>
      <c r="AW270" s="109"/>
      <c r="AX270" s="109"/>
      <c r="AY270" s="109"/>
      <c r="AZ270" s="109"/>
      <c r="BA270" s="109"/>
      <c r="BB270" s="109"/>
      <c r="BC270" s="109"/>
      <c r="BD270" s="109"/>
      <c r="BE270" s="109"/>
      <c r="BF270" s="109"/>
      <c r="BG270" s="109"/>
      <c r="BH270" s="109"/>
      <c r="BI270" s="109"/>
      <c r="BJ270" s="109"/>
      <c r="BK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63"/>
      <c r="J271" s="109"/>
      <c r="K271" s="109"/>
      <c r="L271" s="109"/>
      <c r="M271" s="109"/>
      <c r="N271" s="109"/>
      <c r="O271" s="164"/>
      <c r="P271" s="165"/>
      <c r="Q271" s="165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  <c r="AO271" s="109"/>
      <c r="AP271" s="109"/>
      <c r="AQ271" s="109"/>
      <c r="AR271" s="109"/>
      <c r="AS271" s="109"/>
      <c r="AT271" s="109"/>
      <c r="AU271" s="109"/>
      <c r="AV271" s="109"/>
      <c r="AW271" s="109"/>
      <c r="AX271" s="109"/>
      <c r="AY271" s="109"/>
      <c r="AZ271" s="109"/>
      <c r="BA271" s="109"/>
      <c r="BB271" s="109"/>
      <c r="BC271" s="109"/>
      <c r="BD271" s="109"/>
      <c r="BE271" s="109"/>
      <c r="BF271" s="109"/>
      <c r="BG271" s="109"/>
      <c r="BH271" s="109"/>
      <c r="BI271" s="109"/>
      <c r="BJ271" s="109"/>
      <c r="BK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63"/>
      <c r="J272" s="109"/>
      <c r="K272" s="109"/>
      <c r="L272" s="109"/>
      <c r="M272" s="109"/>
      <c r="N272" s="109"/>
      <c r="O272" s="164"/>
      <c r="P272" s="165"/>
      <c r="Q272" s="165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  <c r="AO272" s="109"/>
      <c r="AP272" s="109"/>
      <c r="AQ272" s="109"/>
      <c r="AR272" s="109"/>
      <c r="AS272" s="109"/>
      <c r="AT272" s="109"/>
      <c r="AU272" s="109"/>
      <c r="AV272" s="109"/>
      <c r="AW272" s="109"/>
      <c r="AX272" s="109"/>
      <c r="AY272" s="109"/>
      <c r="AZ272" s="109"/>
      <c r="BA272" s="109"/>
      <c r="BB272" s="109"/>
      <c r="BC272" s="109"/>
      <c r="BD272" s="109"/>
      <c r="BE272" s="109"/>
      <c r="BF272" s="109"/>
      <c r="BG272" s="109"/>
      <c r="BH272" s="109"/>
      <c r="BI272" s="109"/>
      <c r="BJ272" s="109"/>
      <c r="BK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63"/>
      <c r="J273" s="109"/>
      <c r="K273" s="109"/>
      <c r="L273" s="109"/>
      <c r="M273" s="109"/>
      <c r="N273" s="109"/>
      <c r="O273" s="164"/>
      <c r="P273" s="165"/>
      <c r="Q273" s="165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109"/>
      <c r="AR273" s="109"/>
      <c r="AS273" s="109"/>
      <c r="AT273" s="109"/>
      <c r="AU273" s="109"/>
      <c r="AV273" s="109"/>
      <c r="AW273" s="109"/>
      <c r="AX273" s="109"/>
      <c r="AY273" s="109"/>
      <c r="AZ273" s="109"/>
      <c r="BA273" s="109"/>
      <c r="BB273" s="109"/>
      <c r="BC273" s="109"/>
      <c r="BD273" s="109"/>
      <c r="BE273" s="109"/>
      <c r="BF273" s="109"/>
      <c r="BG273" s="109"/>
      <c r="BH273" s="109"/>
      <c r="BI273" s="109"/>
      <c r="BJ273" s="109"/>
      <c r="BK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63"/>
      <c r="J274" s="109"/>
      <c r="K274" s="109"/>
      <c r="L274" s="109"/>
      <c r="M274" s="109"/>
      <c r="N274" s="109"/>
      <c r="O274" s="164"/>
      <c r="P274" s="165"/>
      <c r="Q274" s="165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  <c r="AO274" s="109"/>
      <c r="AP274" s="109"/>
      <c r="AQ274" s="109"/>
      <c r="AR274" s="109"/>
      <c r="AS274" s="109"/>
      <c r="AT274" s="109"/>
      <c r="AU274" s="109"/>
      <c r="AV274" s="109"/>
      <c r="AW274" s="109"/>
      <c r="AX274" s="109"/>
      <c r="AY274" s="109"/>
      <c r="AZ274" s="109"/>
      <c r="BA274" s="109"/>
      <c r="BB274" s="109"/>
      <c r="BC274" s="109"/>
      <c r="BD274" s="109"/>
      <c r="BE274" s="109"/>
      <c r="BF274" s="109"/>
      <c r="BG274" s="109"/>
      <c r="BH274" s="109"/>
      <c r="BI274" s="109"/>
      <c r="BJ274" s="109"/>
      <c r="BK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63"/>
      <c r="J275" s="109"/>
      <c r="K275" s="109"/>
      <c r="L275" s="109"/>
      <c r="M275" s="109"/>
      <c r="N275" s="109"/>
      <c r="O275" s="164"/>
      <c r="P275" s="165"/>
      <c r="Q275" s="165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9"/>
      <c r="AV275" s="109"/>
      <c r="AW275" s="109"/>
      <c r="AX275" s="109"/>
      <c r="AY275" s="109"/>
      <c r="AZ275" s="109"/>
      <c r="BA275" s="109"/>
      <c r="BB275" s="109"/>
      <c r="BC275" s="109"/>
      <c r="BD275" s="109"/>
      <c r="BE275" s="109"/>
      <c r="BF275" s="109"/>
      <c r="BG275" s="109"/>
      <c r="BH275" s="109"/>
      <c r="BI275" s="109"/>
      <c r="BJ275" s="109"/>
      <c r="BK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63"/>
      <c r="J276" s="109"/>
      <c r="K276" s="109"/>
      <c r="L276" s="109"/>
      <c r="M276" s="109"/>
      <c r="N276" s="109"/>
      <c r="O276" s="164"/>
      <c r="P276" s="165"/>
      <c r="Q276" s="165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  <c r="AU276" s="109"/>
      <c r="AV276" s="109"/>
      <c r="AW276" s="109"/>
      <c r="AX276" s="109"/>
      <c r="AY276" s="109"/>
      <c r="AZ276" s="109"/>
      <c r="BA276" s="109"/>
      <c r="BB276" s="109"/>
      <c r="BC276" s="109"/>
      <c r="BD276" s="109"/>
      <c r="BE276" s="109"/>
      <c r="BF276" s="109"/>
      <c r="BG276" s="109"/>
      <c r="BH276" s="109"/>
      <c r="BI276" s="109"/>
      <c r="BJ276" s="109"/>
      <c r="BK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63"/>
      <c r="J277" s="109"/>
      <c r="K277" s="109"/>
      <c r="L277" s="109"/>
      <c r="M277" s="109"/>
      <c r="N277" s="109"/>
      <c r="O277" s="164"/>
      <c r="P277" s="165"/>
      <c r="Q277" s="165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  <c r="AU277" s="109"/>
      <c r="AV277" s="109"/>
      <c r="AW277" s="109"/>
      <c r="AX277" s="109"/>
      <c r="AY277" s="109"/>
      <c r="AZ277" s="109"/>
      <c r="BA277" s="109"/>
      <c r="BB277" s="109"/>
      <c r="BC277" s="109"/>
      <c r="BD277" s="109"/>
      <c r="BE277" s="109"/>
      <c r="BF277" s="109"/>
      <c r="BG277" s="109"/>
      <c r="BH277" s="109"/>
      <c r="BI277" s="109"/>
      <c r="BJ277" s="109"/>
      <c r="BK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63"/>
      <c r="J278" s="109"/>
      <c r="K278" s="109"/>
      <c r="L278" s="109"/>
      <c r="M278" s="109"/>
      <c r="N278" s="109"/>
      <c r="O278" s="164"/>
      <c r="P278" s="165"/>
      <c r="Q278" s="165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9"/>
      <c r="AR278" s="109"/>
      <c r="AS278" s="109"/>
      <c r="AT278" s="109"/>
      <c r="AU278" s="109"/>
      <c r="AV278" s="109"/>
      <c r="AW278" s="109"/>
      <c r="AX278" s="109"/>
      <c r="AY278" s="109"/>
      <c r="AZ278" s="109"/>
      <c r="BA278" s="109"/>
      <c r="BB278" s="109"/>
      <c r="BC278" s="109"/>
      <c r="BD278" s="109"/>
      <c r="BE278" s="109"/>
      <c r="BF278" s="109"/>
      <c r="BG278" s="109"/>
      <c r="BH278" s="109"/>
      <c r="BI278" s="109"/>
      <c r="BJ278" s="109"/>
      <c r="BK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63"/>
      <c r="J279" s="109"/>
      <c r="K279" s="109"/>
      <c r="L279" s="109"/>
      <c r="M279" s="109"/>
      <c r="N279" s="109"/>
      <c r="O279" s="164"/>
      <c r="P279" s="165"/>
      <c r="Q279" s="165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/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63"/>
      <c r="J280" s="109"/>
      <c r="K280" s="109"/>
      <c r="L280" s="109"/>
      <c r="M280" s="109"/>
      <c r="N280" s="109"/>
      <c r="O280" s="164"/>
      <c r="P280" s="165"/>
      <c r="Q280" s="165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  <c r="AO280" s="109"/>
      <c r="AP280" s="109"/>
      <c r="AQ280" s="109"/>
      <c r="AR280" s="109"/>
      <c r="AS280" s="109"/>
      <c r="AT280" s="109"/>
      <c r="AU280" s="109"/>
      <c r="AV280" s="109"/>
      <c r="AW280" s="109"/>
      <c r="AX280" s="109"/>
      <c r="AY280" s="109"/>
      <c r="AZ280" s="109"/>
      <c r="BA280" s="109"/>
      <c r="BB280" s="109"/>
      <c r="BC280" s="109"/>
      <c r="BD280" s="109"/>
      <c r="BE280" s="109"/>
      <c r="BF280" s="109"/>
      <c r="BG280" s="109"/>
      <c r="BH280" s="109"/>
      <c r="BI280" s="109"/>
      <c r="BJ280" s="109"/>
      <c r="BK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63"/>
      <c r="J281" s="109"/>
      <c r="K281" s="109"/>
      <c r="L281" s="109"/>
      <c r="M281" s="109"/>
      <c r="N281" s="109"/>
      <c r="O281" s="164"/>
      <c r="P281" s="165"/>
      <c r="Q281" s="165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109"/>
      <c r="AR281" s="109"/>
      <c r="AS281" s="109"/>
      <c r="AT281" s="109"/>
      <c r="AU281" s="109"/>
      <c r="AV281" s="109"/>
      <c r="AW281" s="109"/>
      <c r="AX281" s="109"/>
      <c r="AY281" s="109"/>
      <c r="AZ281" s="109"/>
      <c r="BA281" s="109"/>
      <c r="BB281" s="109"/>
      <c r="BC281" s="109"/>
      <c r="BD281" s="109"/>
      <c r="BE281" s="109"/>
      <c r="BF281" s="109"/>
      <c r="BG281" s="109"/>
      <c r="BH281" s="109"/>
      <c r="BI281" s="109"/>
      <c r="BJ281" s="109"/>
      <c r="BK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63"/>
      <c r="J282" s="109"/>
      <c r="K282" s="109"/>
      <c r="L282" s="109"/>
      <c r="M282" s="109"/>
      <c r="N282" s="109"/>
      <c r="O282" s="164"/>
      <c r="P282" s="165"/>
      <c r="Q282" s="165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  <c r="AO282" s="109"/>
      <c r="AP282" s="109"/>
      <c r="AQ282" s="109"/>
      <c r="AR282" s="109"/>
      <c r="AS282" s="109"/>
      <c r="AT282" s="109"/>
      <c r="AU282" s="109"/>
      <c r="AV282" s="109"/>
      <c r="AW282" s="109"/>
      <c r="AX282" s="109"/>
      <c r="AY282" s="109"/>
      <c r="AZ282" s="109"/>
      <c r="BA282" s="109"/>
      <c r="BB282" s="109"/>
      <c r="BC282" s="109"/>
      <c r="BD282" s="109"/>
      <c r="BE282" s="109"/>
      <c r="BF282" s="109"/>
      <c r="BG282" s="109"/>
      <c r="BH282" s="109"/>
      <c r="BI282" s="109"/>
      <c r="BJ282" s="109"/>
      <c r="BK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63"/>
      <c r="J283" s="109"/>
      <c r="K283" s="109"/>
      <c r="L283" s="109"/>
      <c r="M283" s="109"/>
      <c r="N283" s="109"/>
      <c r="O283" s="164"/>
      <c r="P283" s="165"/>
      <c r="Q283" s="165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Q283" s="109"/>
      <c r="AR283" s="109"/>
      <c r="AS283" s="109"/>
      <c r="AT283" s="109"/>
      <c r="AU283" s="109"/>
      <c r="AV283" s="109"/>
      <c r="AW283" s="109"/>
      <c r="AX283" s="109"/>
      <c r="AY283" s="109"/>
      <c r="AZ283" s="109"/>
      <c r="BA283" s="109"/>
      <c r="BB283" s="109"/>
      <c r="BC283" s="109"/>
      <c r="BD283" s="109"/>
      <c r="BE283" s="109"/>
      <c r="BF283" s="109"/>
      <c r="BG283" s="109"/>
      <c r="BH283" s="109"/>
      <c r="BI283" s="109"/>
      <c r="BJ283" s="109"/>
      <c r="BK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63"/>
      <c r="J284" s="109"/>
      <c r="K284" s="109"/>
      <c r="L284" s="109"/>
      <c r="M284" s="109"/>
      <c r="N284" s="109"/>
      <c r="O284" s="164"/>
      <c r="P284" s="165"/>
      <c r="Q284" s="165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  <c r="AO284" s="109"/>
      <c r="AP284" s="109"/>
      <c r="AQ284" s="109"/>
      <c r="AR284" s="109"/>
      <c r="AS284" s="109"/>
      <c r="AT284" s="109"/>
      <c r="AU284" s="109"/>
      <c r="AV284" s="109"/>
      <c r="AW284" s="109"/>
      <c r="AX284" s="109"/>
      <c r="AY284" s="109"/>
      <c r="AZ284" s="109"/>
      <c r="BA284" s="109"/>
      <c r="BB284" s="109"/>
      <c r="BC284" s="109"/>
      <c r="BD284" s="109"/>
      <c r="BE284" s="109"/>
      <c r="BF284" s="109"/>
      <c r="BG284" s="109"/>
      <c r="BH284" s="109"/>
      <c r="BI284" s="109"/>
      <c r="BJ284" s="109"/>
      <c r="BK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63"/>
      <c r="J285" s="109"/>
      <c r="K285" s="109"/>
      <c r="L285" s="109"/>
      <c r="M285" s="109"/>
      <c r="N285" s="109"/>
      <c r="O285" s="164"/>
      <c r="P285" s="165"/>
      <c r="Q285" s="165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  <c r="AO285" s="109"/>
      <c r="AP285" s="109"/>
      <c r="AQ285" s="109"/>
      <c r="AR285" s="109"/>
      <c r="AS285" s="109"/>
      <c r="AT285" s="109"/>
      <c r="AU285" s="109"/>
      <c r="AV285" s="109"/>
      <c r="AW285" s="109"/>
      <c r="AX285" s="109"/>
      <c r="AY285" s="109"/>
      <c r="AZ285" s="109"/>
      <c r="BA285" s="109"/>
      <c r="BB285" s="109"/>
      <c r="BC285" s="109"/>
      <c r="BD285" s="109"/>
      <c r="BE285" s="109"/>
      <c r="BF285" s="109"/>
      <c r="BG285" s="109"/>
      <c r="BH285" s="109"/>
      <c r="BI285" s="109"/>
      <c r="BJ285" s="109"/>
      <c r="BK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63"/>
      <c r="J286" s="109"/>
      <c r="K286" s="109"/>
      <c r="L286" s="109"/>
      <c r="M286" s="109"/>
      <c r="N286" s="109"/>
      <c r="O286" s="164"/>
      <c r="P286" s="165"/>
      <c r="Q286" s="165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  <c r="AO286" s="109"/>
      <c r="AP286" s="109"/>
      <c r="AQ286" s="109"/>
      <c r="AR286" s="109"/>
      <c r="AS286" s="109"/>
      <c r="AT286" s="109"/>
      <c r="AU286" s="109"/>
      <c r="AV286" s="109"/>
      <c r="AW286" s="109"/>
      <c r="AX286" s="109"/>
      <c r="AY286" s="109"/>
      <c r="AZ286" s="109"/>
      <c r="BA286" s="109"/>
      <c r="BB286" s="109"/>
      <c r="BC286" s="109"/>
      <c r="BD286" s="109"/>
      <c r="BE286" s="109"/>
      <c r="BF286" s="109"/>
      <c r="BG286" s="109"/>
      <c r="BH286" s="109"/>
      <c r="BI286" s="109"/>
      <c r="BJ286" s="109"/>
      <c r="BK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63"/>
      <c r="J287" s="109"/>
      <c r="K287" s="109"/>
      <c r="L287" s="109"/>
      <c r="M287" s="109"/>
      <c r="N287" s="109"/>
      <c r="O287" s="164"/>
      <c r="P287" s="165"/>
      <c r="Q287" s="165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  <c r="AU287" s="109"/>
      <c r="AV287" s="109"/>
      <c r="AW287" s="109"/>
      <c r="AX287" s="109"/>
      <c r="AY287" s="109"/>
      <c r="AZ287" s="109"/>
      <c r="BA287" s="109"/>
      <c r="BB287" s="109"/>
      <c r="BC287" s="109"/>
      <c r="BD287" s="109"/>
      <c r="BE287" s="109"/>
      <c r="BF287" s="109"/>
      <c r="BG287" s="109"/>
      <c r="BH287" s="109"/>
      <c r="BI287" s="109"/>
      <c r="BJ287" s="109"/>
      <c r="BK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63"/>
      <c r="J288" s="109"/>
      <c r="K288" s="109"/>
      <c r="L288" s="109"/>
      <c r="M288" s="109"/>
      <c r="N288" s="109"/>
      <c r="O288" s="164"/>
      <c r="P288" s="165"/>
      <c r="Q288" s="165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Q288" s="109"/>
      <c r="AR288" s="109"/>
      <c r="AS288" s="109"/>
      <c r="AT288" s="109"/>
      <c r="AU288" s="109"/>
      <c r="AV288" s="109"/>
      <c r="AW288" s="109"/>
      <c r="AX288" s="109"/>
      <c r="AY288" s="109"/>
      <c r="AZ288" s="109"/>
      <c r="BA288" s="109"/>
      <c r="BB288" s="109"/>
      <c r="BC288" s="109"/>
      <c r="BD288" s="109"/>
      <c r="BE288" s="109"/>
      <c r="BF288" s="109"/>
      <c r="BG288" s="109"/>
      <c r="BH288" s="109"/>
      <c r="BI288" s="109"/>
      <c r="BJ288" s="109"/>
      <c r="BK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63"/>
      <c r="J289" s="109"/>
      <c r="K289" s="109"/>
      <c r="L289" s="109"/>
      <c r="M289" s="109"/>
      <c r="N289" s="109"/>
      <c r="O289" s="164"/>
      <c r="P289" s="165"/>
      <c r="Q289" s="165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  <c r="AO289" s="109"/>
      <c r="AP289" s="109"/>
      <c r="AQ289" s="109"/>
      <c r="AR289" s="109"/>
      <c r="AS289" s="109"/>
      <c r="AT289" s="109"/>
      <c r="AU289" s="109"/>
      <c r="AV289" s="109"/>
      <c r="AW289" s="109"/>
      <c r="AX289" s="109"/>
      <c r="AY289" s="109"/>
      <c r="AZ289" s="109"/>
      <c r="BA289" s="109"/>
      <c r="BB289" s="109"/>
      <c r="BC289" s="109"/>
      <c r="BD289" s="109"/>
      <c r="BE289" s="109"/>
      <c r="BF289" s="109"/>
      <c r="BG289" s="109"/>
      <c r="BH289" s="109"/>
      <c r="BI289" s="109"/>
      <c r="BJ289" s="109"/>
      <c r="BK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63"/>
      <c r="J290" s="109"/>
      <c r="K290" s="109"/>
      <c r="L290" s="109"/>
      <c r="M290" s="109"/>
      <c r="N290" s="109"/>
      <c r="O290" s="164"/>
      <c r="P290" s="165"/>
      <c r="Q290" s="165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  <c r="AO290" s="109"/>
      <c r="AP290" s="109"/>
      <c r="AQ290" s="109"/>
      <c r="AR290" s="109"/>
      <c r="AS290" s="109"/>
      <c r="AT290" s="109"/>
      <c r="AU290" s="109"/>
      <c r="AV290" s="109"/>
      <c r="AW290" s="109"/>
      <c r="AX290" s="109"/>
      <c r="AY290" s="109"/>
      <c r="AZ290" s="109"/>
      <c r="BA290" s="109"/>
      <c r="BB290" s="109"/>
      <c r="BC290" s="109"/>
      <c r="BD290" s="109"/>
      <c r="BE290" s="109"/>
      <c r="BF290" s="109"/>
      <c r="BG290" s="109"/>
      <c r="BH290" s="109"/>
      <c r="BI290" s="109"/>
      <c r="BJ290" s="109"/>
      <c r="BK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63"/>
      <c r="J291" s="109"/>
      <c r="K291" s="109"/>
      <c r="L291" s="109"/>
      <c r="M291" s="109"/>
      <c r="N291" s="109"/>
      <c r="O291" s="164"/>
      <c r="P291" s="165"/>
      <c r="Q291" s="165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  <c r="AO291" s="109"/>
      <c r="AP291" s="109"/>
      <c r="AQ291" s="109"/>
      <c r="AR291" s="109"/>
      <c r="AS291" s="109"/>
      <c r="AT291" s="109"/>
      <c r="AU291" s="109"/>
      <c r="AV291" s="109"/>
      <c r="AW291" s="109"/>
      <c r="AX291" s="109"/>
      <c r="AY291" s="109"/>
      <c r="AZ291" s="109"/>
      <c r="BA291" s="109"/>
      <c r="BB291" s="109"/>
      <c r="BC291" s="109"/>
      <c r="BD291" s="109"/>
      <c r="BE291" s="109"/>
      <c r="BF291" s="109"/>
      <c r="BG291" s="109"/>
      <c r="BH291" s="109"/>
      <c r="BI291" s="109"/>
      <c r="BJ291" s="109"/>
      <c r="BK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63"/>
      <c r="J292" s="109"/>
      <c r="K292" s="109"/>
      <c r="L292" s="109"/>
      <c r="M292" s="109"/>
      <c r="N292" s="109"/>
      <c r="O292" s="164"/>
      <c r="P292" s="165"/>
      <c r="Q292" s="165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  <c r="AO292" s="109"/>
      <c r="AP292" s="109"/>
      <c r="AQ292" s="109"/>
      <c r="AR292" s="109"/>
      <c r="AS292" s="109"/>
      <c r="AT292" s="109"/>
      <c r="AU292" s="109"/>
      <c r="AV292" s="109"/>
      <c r="AW292" s="109"/>
      <c r="AX292" s="109"/>
      <c r="AY292" s="109"/>
      <c r="AZ292" s="109"/>
      <c r="BA292" s="109"/>
      <c r="BB292" s="109"/>
      <c r="BC292" s="109"/>
      <c r="BD292" s="109"/>
      <c r="BE292" s="109"/>
      <c r="BF292" s="109"/>
      <c r="BG292" s="109"/>
      <c r="BH292" s="109"/>
      <c r="BI292" s="109"/>
      <c r="BJ292" s="109"/>
      <c r="BK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63"/>
      <c r="J293" s="109"/>
      <c r="K293" s="109"/>
      <c r="L293" s="109"/>
      <c r="M293" s="109"/>
      <c r="N293" s="109"/>
      <c r="O293" s="164"/>
      <c r="P293" s="165"/>
      <c r="Q293" s="165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  <c r="AO293" s="109"/>
      <c r="AP293" s="109"/>
      <c r="AQ293" s="109"/>
      <c r="AR293" s="109"/>
      <c r="AS293" s="109"/>
      <c r="AT293" s="109"/>
      <c r="AU293" s="109"/>
      <c r="AV293" s="109"/>
      <c r="AW293" s="109"/>
      <c r="AX293" s="109"/>
      <c r="AY293" s="109"/>
      <c r="AZ293" s="109"/>
      <c r="BA293" s="109"/>
      <c r="BB293" s="109"/>
      <c r="BC293" s="109"/>
      <c r="BD293" s="109"/>
      <c r="BE293" s="109"/>
      <c r="BF293" s="109"/>
      <c r="BG293" s="109"/>
      <c r="BH293" s="109"/>
      <c r="BI293" s="109"/>
      <c r="BJ293" s="109"/>
      <c r="BK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63"/>
      <c r="J294" s="109"/>
      <c r="K294" s="109"/>
      <c r="L294" s="109"/>
      <c r="M294" s="109"/>
      <c r="N294" s="109"/>
      <c r="O294" s="164"/>
      <c r="P294" s="165"/>
      <c r="Q294" s="165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  <c r="AO294" s="109"/>
      <c r="AP294" s="109"/>
      <c r="AQ294" s="109"/>
      <c r="AR294" s="109"/>
      <c r="AS294" s="109"/>
      <c r="AT294" s="109"/>
      <c r="AU294" s="109"/>
      <c r="AV294" s="109"/>
      <c r="AW294" s="109"/>
      <c r="AX294" s="109"/>
      <c r="AY294" s="109"/>
      <c r="AZ294" s="109"/>
      <c r="BA294" s="109"/>
      <c r="BB294" s="109"/>
      <c r="BC294" s="109"/>
      <c r="BD294" s="109"/>
      <c r="BE294" s="109"/>
      <c r="BF294" s="109"/>
      <c r="BG294" s="109"/>
      <c r="BH294" s="109"/>
      <c r="BI294" s="109"/>
      <c r="BJ294" s="109"/>
      <c r="BK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63"/>
      <c r="J295" s="109"/>
      <c r="K295" s="109"/>
      <c r="L295" s="109"/>
      <c r="M295" s="109"/>
      <c r="N295" s="109"/>
      <c r="O295" s="164"/>
      <c r="P295" s="165"/>
      <c r="Q295" s="165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  <c r="AO295" s="109"/>
      <c r="AP295" s="109"/>
      <c r="AQ295" s="109"/>
      <c r="AR295" s="109"/>
      <c r="AS295" s="109"/>
      <c r="AT295" s="109"/>
      <c r="AU295" s="109"/>
      <c r="AV295" s="109"/>
      <c r="AW295" s="109"/>
      <c r="AX295" s="109"/>
      <c r="AY295" s="109"/>
      <c r="AZ295" s="109"/>
      <c r="BA295" s="109"/>
      <c r="BB295" s="109"/>
      <c r="BC295" s="109"/>
      <c r="BD295" s="109"/>
      <c r="BE295" s="109"/>
      <c r="BF295" s="109"/>
      <c r="BG295" s="109"/>
      <c r="BH295" s="109"/>
      <c r="BI295" s="109"/>
      <c r="BJ295" s="109"/>
      <c r="BK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63"/>
      <c r="J296" s="109"/>
      <c r="K296" s="109"/>
      <c r="L296" s="109"/>
      <c r="M296" s="109"/>
      <c r="N296" s="109"/>
      <c r="O296" s="164"/>
      <c r="P296" s="165"/>
      <c r="Q296" s="165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  <c r="AO296" s="109"/>
      <c r="AP296" s="109"/>
      <c r="AQ296" s="109"/>
      <c r="AR296" s="109"/>
      <c r="AS296" s="109"/>
      <c r="AT296" s="109"/>
      <c r="AU296" s="109"/>
      <c r="AV296" s="109"/>
      <c r="AW296" s="109"/>
      <c r="AX296" s="109"/>
      <c r="AY296" s="109"/>
      <c r="AZ296" s="109"/>
      <c r="BA296" s="109"/>
      <c r="BB296" s="109"/>
      <c r="BC296" s="109"/>
      <c r="BD296" s="109"/>
      <c r="BE296" s="109"/>
      <c r="BF296" s="109"/>
      <c r="BG296" s="109"/>
      <c r="BH296" s="109"/>
      <c r="BI296" s="109"/>
      <c r="BJ296" s="109"/>
      <c r="BK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63"/>
      <c r="J297" s="109"/>
      <c r="K297" s="109"/>
      <c r="L297" s="109"/>
      <c r="M297" s="109"/>
      <c r="N297" s="109"/>
      <c r="O297" s="164"/>
      <c r="P297" s="165"/>
      <c r="Q297" s="165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  <c r="AO297" s="109"/>
      <c r="AP297" s="109"/>
      <c r="AQ297" s="109"/>
      <c r="AR297" s="109"/>
      <c r="AS297" s="109"/>
      <c r="AT297" s="109"/>
      <c r="AU297" s="109"/>
      <c r="AV297" s="109"/>
      <c r="AW297" s="109"/>
      <c r="AX297" s="109"/>
      <c r="AY297" s="109"/>
      <c r="AZ297" s="109"/>
      <c r="BA297" s="109"/>
      <c r="BB297" s="109"/>
      <c r="BC297" s="109"/>
      <c r="BD297" s="109"/>
      <c r="BE297" s="109"/>
      <c r="BF297" s="109"/>
      <c r="BG297" s="109"/>
      <c r="BH297" s="109"/>
      <c r="BI297" s="109"/>
      <c r="BJ297" s="109"/>
      <c r="BK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63"/>
      <c r="J298" s="109"/>
      <c r="K298" s="109"/>
      <c r="L298" s="109"/>
      <c r="M298" s="109"/>
      <c r="N298" s="109"/>
      <c r="O298" s="164"/>
      <c r="P298" s="165"/>
      <c r="Q298" s="165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  <c r="AO298" s="109"/>
      <c r="AP298" s="109"/>
      <c r="AQ298" s="109"/>
      <c r="AR298" s="109"/>
      <c r="AS298" s="109"/>
      <c r="AT298" s="109"/>
      <c r="AU298" s="109"/>
      <c r="AV298" s="109"/>
      <c r="AW298" s="109"/>
      <c r="AX298" s="109"/>
      <c r="AY298" s="109"/>
      <c r="AZ298" s="109"/>
      <c r="BA298" s="109"/>
      <c r="BB298" s="109"/>
      <c r="BC298" s="109"/>
      <c r="BD298" s="109"/>
      <c r="BE298" s="109"/>
      <c r="BF298" s="109"/>
      <c r="BG298" s="109"/>
      <c r="BH298" s="109"/>
      <c r="BI298" s="109"/>
      <c r="BJ298" s="109"/>
      <c r="BK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63"/>
      <c r="J299" s="109"/>
      <c r="K299" s="109"/>
      <c r="L299" s="109"/>
      <c r="M299" s="109"/>
      <c r="N299" s="109"/>
      <c r="O299" s="164"/>
      <c r="P299" s="165"/>
      <c r="Q299" s="165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  <c r="AO299" s="109"/>
      <c r="AP299" s="109"/>
      <c r="AQ299" s="109"/>
      <c r="AR299" s="109"/>
      <c r="AS299" s="109"/>
      <c r="AT299" s="109"/>
      <c r="AU299" s="109"/>
      <c r="AV299" s="109"/>
      <c r="AW299" s="109"/>
      <c r="AX299" s="109"/>
      <c r="AY299" s="109"/>
      <c r="AZ299" s="109"/>
      <c r="BA299" s="109"/>
      <c r="BB299" s="109"/>
      <c r="BC299" s="109"/>
      <c r="BD299" s="109"/>
      <c r="BE299" s="109"/>
      <c r="BF299" s="109"/>
      <c r="BG299" s="109"/>
      <c r="BH299" s="109"/>
      <c r="BI299" s="109"/>
      <c r="BJ299" s="109"/>
      <c r="BK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63"/>
      <c r="J300" s="109"/>
      <c r="K300" s="109"/>
      <c r="L300" s="109"/>
      <c r="M300" s="109"/>
      <c r="N300" s="109"/>
      <c r="O300" s="164"/>
      <c r="P300" s="165"/>
      <c r="Q300" s="165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  <c r="AO300" s="109"/>
      <c r="AP300" s="109"/>
      <c r="AQ300" s="109"/>
      <c r="AR300" s="109"/>
      <c r="AS300" s="109"/>
      <c r="AT300" s="109"/>
      <c r="AU300" s="109"/>
      <c r="AV300" s="109"/>
      <c r="AW300" s="109"/>
      <c r="AX300" s="109"/>
      <c r="AY300" s="109"/>
      <c r="AZ300" s="109"/>
      <c r="BA300" s="109"/>
      <c r="BB300" s="109"/>
      <c r="BC300" s="109"/>
      <c r="BD300" s="109"/>
      <c r="BE300" s="109"/>
      <c r="BF300" s="109"/>
      <c r="BG300" s="109"/>
      <c r="BH300" s="109"/>
      <c r="BI300" s="109"/>
      <c r="BJ300" s="109"/>
      <c r="BK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63"/>
      <c r="J301" s="109"/>
      <c r="K301" s="109"/>
      <c r="L301" s="109"/>
      <c r="M301" s="109"/>
      <c r="N301" s="109"/>
      <c r="O301" s="164"/>
      <c r="P301" s="165"/>
      <c r="Q301" s="165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  <c r="AO301" s="109"/>
      <c r="AP301" s="109"/>
      <c r="AQ301" s="109"/>
      <c r="AR301" s="109"/>
      <c r="AS301" s="109"/>
      <c r="AT301" s="109"/>
      <c r="AU301" s="109"/>
      <c r="AV301" s="109"/>
      <c r="AW301" s="109"/>
      <c r="AX301" s="109"/>
      <c r="AY301" s="109"/>
      <c r="AZ301" s="109"/>
      <c r="BA301" s="109"/>
      <c r="BB301" s="109"/>
      <c r="BC301" s="109"/>
      <c r="BD301" s="109"/>
      <c r="BE301" s="109"/>
      <c r="BF301" s="109"/>
      <c r="BG301" s="109"/>
      <c r="BH301" s="109"/>
      <c r="BI301" s="109"/>
      <c r="BJ301" s="109"/>
      <c r="BK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63"/>
      <c r="J302" s="109"/>
      <c r="K302" s="109"/>
      <c r="L302" s="109"/>
      <c r="M302" s="109"/>
      <c r="N302" s="109"/>
      <c r="O302" s="164"/>
      <c r="P302" s="165"/>
      <c r="Q302" s="165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  <c r="AO302" s="109"/>
      <c r="AP302" s="109"/>
      <c r="AQ302" s="109"/>
      <c r="AR302" s="109"/>
      <c r="AS302" s="109"/>
      <c r="AT302" s="109"/>
      <c r="AU302" s="109"/>
      <c r="AV302" s="109"/>
      <c r="AW302" s="109"/>
      <c r="AX302" s="109"/>
      <c r="AY302" s="109"/>
      <c r="AZ302" s="109"/>
      <c r="BA302" s="109"/>
      <c r="BB302" s="109"/>
      <c r="BC302" s="109"/>
      <c r="BD302" s="109"/>
      <c r="BE302" s="109"/>
      <c r="BF302" s="109"/>
      <c r="BG302" s="109"/>
      <c r="BH302" s="109"/>
      <c r="BI302" s="109"/>
      <c r="BJ302" s="109"/>
      <c r="BK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63"/>
      <c r="J303" s="109"/>
      <c r="K303" s="109"/>
      <c r="L303" s="109"/>
      <c r="M303" s="109"/>
      <c r="N303" s="109"/>
      <c r="O303" s="164"/>
      <c r="P303" s="165"/>
      <c r="Q303" s="165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  <c r="AO303" s="109"/>
      <c r="AP303" s="109"/>
      <c r="AQ303" s="109"/>
      <c r="AR303" s="109"/>
      <c r="AS303" s="109"/>
      <c r="AT303" s="109"/>
      <c r="AU303" s="109"/>
      <c r="AV303" s="109"/>
      <c r="AW303" s="109"/>
      <c r="AX303" s="109"/>
      <c r="AY303" s="109"/>
      <c r="AZ303" s="109"/>
      <c r="BA303" s="109"/>
      <c r="BB303" s="109"/>
      <c r="BC303" s="109"/>
      <c r="BD303" s="109"/>
      <c r="BE303" s="109"/>
      <c r="BF303" s="109"/>
      <c r="BG303" s="109"/>
      <c r="BH303" s="109"/>
      <c r="BI303" s="109"/>
      <c r="BJ303" s="109"/>
      <c r="BK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63"/>
      <c r="J304" s="109"/>
      <c r="K304" s="109"/>
      <c r="L304" s="109"/>
      <c r="M304" s="109"/>
      <c r="N304" s="109"/>
      <c r="O304" s="164"/>
      <c r="P304" s="165"/>
      <c r="Q304" s="165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  <c r="AO304" s="109"/>
      <c r="AP304" s="109"/>
      <c r="AQ304" s="109"/>
      <c r="AR304" s="109"/>
      <c r="AS304" s="109"/>
      <c r="AT304" s="109"/>
      <c r="AU304" s="109"/>
      <c r="AV304" s="109"/>
      <c r="AW304" s="109"/>
      <c r="AX304" s="109"/>
      <c r="AY304" s="109"/>
      <c r="AZ304" s="109"/>
      <c r="BA304" s="109"/>
      <c r="BB304" s="109"/>
      <c r="BC304" s="109"/>
      <c r="BD304" s="109"/>
      <c r="BE304" s="109"/>
      <c r="BF304" s="109"/>
      <c r="BG304" s="109"/>
      <c r="BH304" s="109"/>
      <c r="BI304" s="109"/>
      <c r="BJ304" s="109"/>
      <c r="BK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63"/>
      <c r="J305" s="109"/>
      <c r="K305" s="109"/>
      <c r="L305" s="109"/>
      <c r="M305" s="109"/>
      <c r="N305" s="109"/>
      <c r="O305" s="164"/>
      <c r="P305" s="165"/>
      <c r="Q305" s="165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  <c r="AO305" s="109"/>
      <c r="AP305" s="109"/>
      <c r="AQ305" s="109"/>
      <c r="AR305" s="109"/>
      <c r="AS305" s="109"/>
      <c r="AT305" s="109"/>
      <c r="AU305" s="109"/>
      <c r="AV305" s="109"/>
      <c r="AW305" s="109"/>
      <c r="AX305" s="109"/>
      <c r="AY305" s="109"/>
      <c r="AZ305" s="109"/>
      <c r="BA305" s="109"/>
      <c r="BB305" s="109"/>
      <c r="BC305" s="109"/>
      <c r="BD305" s="109"/>
      <c r="BE305" s="109"/>
      <c r="BF305" s="109"/>
      <c r="BG305" s="109"/>
      <c r="BH305" s="109"/>
      <c r="BI305" s="109"/>
      <c r="BJ305" s="109"/>
      <c r="BK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63"/>
      <c r="J306" s="109"/>
      <c r="K306" s="109"/>
      <c r="L306" s="109"/>
      <c r="M306" s="109"/>
      <c r="N306" s="109"/>
      <c r="O306" s="164"/>
      <c r="P306" s="165"/>
      <c r="Q306" s="165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  <c r="AO306" s="109"/>
      <c r="AP306" s="109"/>
      <c r="AQ306" s="109"/>
      <c r="AR306" s="109"/>
      <c r="AS306" s="109"/>
      <c r="AT306" s="109"/>
      <c r="AU306" s="109"/>
      <c r="AV306" s="109"/>
      <c r="AW306" s="109"/>
      <c r="AX306" s="109"/>
      <c r="AY306" s="109"/>
      <c r="AZ306" s="109"/>
      <c r="BA306" s="109"/>
      <c r="BB306" s="109"/>
      <c r="BC306" s="109"/>
      <c r="BD306" s="109"/>
      <c r="BE306" s="109"/>
      <c r="BF306" s="109"/>
      <c r="BG306" s="109"/>
      <c r="BH306" s="109"/>
      <c r="BI306" s="109"/>
      <c r="BJ306" s="109"/>
      <c r="BK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63"/>
      <c r="J307" s="109"/>
      <c r="K307" s="109"/>
      <c r="L307" s="109"/>
      <c r="M307" s="109"/>
      <c r="N307" s="109"/>
      <c r="O307" s="164"/>
      <c r="P307" s="165"/>
      <c r="Q307" s="165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  <c r="AO307" s="109"/>
      <c r="AP307" s="109"/>
      <c r="AQ307" s="109"/>
      <c r="AR307" s="109"/>
      <c r="AS307" s="109"/>
      <c r="AT307" s="109"/>
      <c r="AU307" s="109"/>
      <c r="AV307" s="109"/>
      <c r="AW307" s="109"/>
      <c r="AX307" s="109"/>
      <c r="AY307" s="109"/>
      <c r="AZ307" s="109"/>
      <c r="BA307" s="109"/>
      <c r="BB307" s="109"/>
      <c r="BC307" s="109"/>
      <c r="BD307" s="109"/>
      <c r="BE307" s="109"/>
      <c r="BF307" s="109"/>
      <c r="BG307" s="109"/>
      <c r="BH307" s="109"/>
      <c r="BI307" s="109"/>
      <c r="BJ307" s="109"/>
      <c r="BK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63"/>
      <c r="J308" s="109"/>
      <c r="K308" s="109"/>
      <c r="L308" s="109"/>
      <c r="M308" s="109"/>
      <c r="N308" s="109"/>
      <c r="O308" s="164"/>
      <c r="P308" s="165"/>
      <c r="Q308" s="165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  <c r="AO308" s="109"/>
      <c r="AP308" s="109"/>
      <c r="AQ308" s="109"/>
      <c r="AR308" s="109"/>
      <c r="AS308" s="109"/>
      <c r="AT308" s="109"/>
      <c r="AU308" s="109"/>
      <c r="AV308" s="109"/>
      <c r="AW308" s="109"/>
      <c r="AX308" s="109"/>
      <c r="AY308" s="109"/>
      <c r="AZ308" s="109"/>
      <c r="BA308" s="109"/>
      <c r="BB308" s="109"/>
      <c r="BC308" s="109"/>
      <c r="BD308" s="109"/>
      <c r="BE308" s="109"/>
      <c r="BF308" s="109"/>
      <c r="BG308" s="109"/>
      <c r="BH308" s="109"/>
      <c r="BI308" s="109"/>
      <c r="BJ308" s="109"/>
      <c r="BK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63"/>
      <c r="J309" s="109"/>
      <c r="K309" s="109"/>
      <c r="L309" s="109"/>
      <c r="M309" s="109"/>
      <c r="N309" s="109"/>
      <c r="O309" s="164"/>
      <c r="P309" s="165"/>
      <c r="Q309" s="165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  <c r="AO309" s="109"/>
      <c r="AP309" s="109"/>
      <c r="AQ309" s="109"/>
      <c r="AR309" s="109"/>
      <c r="AS309" s="109"/>
      <c r="AT309" s="109"/>
      <c r="AU309" s="109"/>
      <c r="AV309" s="109"/>
      <c r="AW309" s="109"/>
      <c r="AX309" s="109"/>
      <c r="AY309" s="109"/>
      <c r="AZ309" s="109"/>
      <c r="BA309" s="109"/>
      <c r="BB309" s="109"/>
      <c r="BC309" s="109"/>
      <c r="BD309" s="109"/>
      <c r="BE309" s="109"/>
      <c r="BF309" s="109"/>
      <c r="BG309" s="109"/>
      <c r="BH309" s="109"/>
      <c r="BI309" s="109"/>
      <c r="BJ309" s="109"/>
      <c r="BK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63"/>
      <c r="J310" s="109"/>
      <c r="K310" s="109"/>
      <c r="L310" s="109"/>
      <c r="M310" s="109"/>
      <c r="N310" s="109"/>
      <c r="O310" s="164"/>
      <c r="P310" s="165"/>
      <c r="Q310" s="165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  <c r="AO310" s="109"/>
      <c r="AP310" s="109"/>
      <c r="AQ310" s="109"/>
      <c r="AR310" s="109"/>
      <c r="AS310" s="109"/>
      <c r="AT310" s="109"/>
      <c r="AU310" s="109"/>
      <c r="AV310" s="109"/>
      <c r="AW310" s="109"/>
      <c r="AX310" s="109"/>
      <c r="AY310" s="109"/>
      <c r="AZ310" s="109"/>
      <c r="BA310" s="109"/>
      <c r="BB310" s="109"/>
      <c r="BC310" s="109"/>
      <c r="BD310" s="109"/>
      <c r="BE310" s="109"/>
      <c r="BF310" s="109"/>
      <c r="BG310" s="109"/>
      <c r="BH310" s="109"/>
      <c r="BI310" s="109"/>
      <c r="BJ310" s="109"/>
      <c r="BK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63"/>
      <c r="J311" s="109"/>
      <c r="K311" s="109"/>
      <c r="L311" s="109"/>
      <c r="M311" s="109"/>
      <c r="N311" s="109"/>
      <c r="O311" s="164"/>
      <c r="P311" s="165"/>
      <c r="Q311" s="165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  <c r="AO311" s="109"/>
      <c r="AP311" s="109"/>
      <c r="AQ311" s="109"/>
      <c r="AR311" s="109"/>
      <c r="AS311" s="109"/>
      <c r="AT311" s="109"/>
      <c r="AU311" s="109"/>
      <c r="AV311" s="109"/>
      <c r="AW311" s="109"/>
      <c r="AX311" s="109"/>
      <c r="AY311" s="109"/>
      <c r="AZ311" s="109"/>
      <c r="BA311" s="109"/>
      <c r="BB311" s="109"/>
      <c r="BC311" s="109"/>
      <c r="BD311" s="109"/>
      <c r="BE311" s="109"/>
      <c r="BF311" s="109"/>
      <c r="BG311" s="109"/>
      <c r="BH311" s="109"/>
      <c r="BI311" s="109"/>
      <c r="BJ311" s="109"/>
      <c r="BK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63"/>
      <c r="J312" s="109"/>
      <c r="K312" s="109"/>
      <c r="L312" s="109"/>
      <c r="M312" s="109"/>
      <c r="N312" s="109"/>
      <c r="O312" s="164"/>
      <c r="P312" s="165"/>
      <c r="Q312" s="165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  <c r="AO312" s="109"/>
      <c r="AP312" s="109"/>
      <c r="AQ312" s="109"/>
      <c r="AR312" s="109"/>
      <c r="AS312" s="109"/>
      <c r="AT312" s="109"/>
      <c r="AU312" s="109"/>
      <c r="AV312" s="109"/>
      <c r="AW312" s="109"/>
      <c r="AX312" s="109"/>
      <c r="AY312" s="109"/>
      <c r="AZ312" s="109"/>
      <c r="BA312" s="109"/>
      <c r="BB312" s="109"/>
      <c r="BC312" s="109"/>
      <c r="BD312" s="109"/>
      <c r="BE312" s="109"/>
      <c r="BF312" s="109"/>
      <c r="BG312" s="109"/>
      <c r="BH312" s="109"/>
      <c r="BI312" s="109"/>
      <c r="BJ312" s="109"/>
      <c r="BK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63"/>
      <c r="J313" s="109"/>
      <c r="K313" s="109"/>
      <c r="L313" s="109"/>
      <c r="M313" s="109"/>
      <c r="N313" s="109"/>
      <c r="O313" s="164"/>
      <c r="P313" s="165"/>
      <c r="Q313" s="165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  <c r="AO313" s="109"/>
      <c r="AP313" s="109"/>
      <c r="AQ313" s="109"/>
      <c r="AR313" s="109"/>
      <c r="AS313" s="109"/>
      <c r="AT313" s="109"/>
      <c r="AU313" s="109"/>
      <c r="AV313" s="109"/>
      <c r="AW313" s="109"/>
      <c r="AX313" s="109"/>
      <c r="AY313" s="109"/>
      <c r="AZ313" s="109"/>
      <c r="BA313" s="109"/>
      <c r="BB313" s="109"/>
      <c r="BC313" s="109"/>
      <c r="BD313" s="109"/>
      <c r="BE313" s="109"/>
      <c r="BF313" s="109"/>
      <c r="BG313" s="109"/>
      <c r="BH313" s="109"/>
      <c r="BI313" s="109"/>
      <c r="BJ313" s="109"/>
      <c r="BK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63"/>
      <c r="J314" s="109"/>
      <c r="K314" s="109"/>
      <c r="L314" s="109"/>
      <c r="M314" s="109"/>
      <c r="N314" s="109"/>
      <c r="O314" s="164"/>
      <c r="P314" s="165"/>
      <c r="Q314" s="165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  <c r="AO314" s="109"/>
      <c r="AP314" s="109"/>
      <c r="AQ314" s="109"/>
      <c r="AR314" s="109"/>
      <c r="AS314" s="109"/>
      <c r="AT314" s="109"/>
      <c r="AU314" s="109"/>
      <c r="AV314" s="109"/>
      <c r="AW314" s="109"/>
      <c r="AX314" s="109"/>
      <c r="AY314" s="109"/>
      <c r="AZ314" s="109"/>
      <c r="BA314" s="109"/>
      <c r="BB314" s="109"/>
      <c r="BC314" s="109"/>
      <c r="BD314" s="109"/>
      <c r="BE314" s="109"/>
      <c r="BF314" s="109"/>
      <c r="BG314" s="109"/>
      <c r="BH314" s="109"/>
      <c r="BI314" s="109"/>
      <c r="BJ314" s="109"/>
      <c r="BK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63"/>
      <c r="J315" s="109"/>
      <c r="K315" s="109"/>
      <c r="L315" s="109"/>
      <c r="M315" s="109"/>
      <c r="N315" s="109"/>
      <c r="O315" s="164"/>
      <c r="P315" s="165"/>
      <c r="Q315" s="165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  <c r="AO315" s="109"/>
      <c r="AP315" s="109"/>
      <c r="AQ315" s="109"/>
      <c r="AR315" s="109"/>
      <c r="AS315" s="109"/>
      <c r="AT315" s="109"/>
      <c r="AU315" s="109"/>
      <c r="AV315" s="109"/>
      <c r="AW315" s="109"/>
      <c r="AX315" s="109"/>
      <c r="AY315" s="109"/>
      <c r="AZ315" s="109"/>
      <c r="BA315" s="109"/>
      <c r="BB315" s="109"/>
      <c r="BC315" s="109"/>
      <c r="BD315" s="109"/>
      <c r="BE315" s="109"/>
      <c r="BF315" s="109"/>
      <c r="BG315" s="109"/>
      <c r="BH315" s="109"/>
      <c r="BI315" s="109"/>
      <c r="BJ315" s="109"/>
      <c r="BK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63"/>
      <c r="J316" s="109"/>
      <c r="K316" s="109"/>
      <c r="L316" s="109"/>
      <c r="M316" s="109"/>
      <c r="N316" s="109"/>
      <c r="O316" s="164"/>
      <c r="P316" s="165"/>
      <c r="Q316" s="165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  <c r="AO316" s="109"/>
      <c r="AP316" s="109"/>
      <c r="AQ316" s="109"/>
      <c r="AR316" s="109"/>
      <c r="AS316" s="109"/>
      <c r="AT316" s="109"/>
      <c r="AU316" s="109"/>
      <c r="AV316" s="109"/>
      <c r="AW316" s="109"/>
      <c r="AX316" s="109"/>
      <c r="AY316" s="109"/>
      <c r="AZ316" s="109"/>
      <c r="BA316" s="109"/>
      <c r="BB316" s="109"/>
      <c r="BC316" s="109"/>
      <c r="BD316" s="109"/>
      <c r="BE316" s="109"/>
      <c r="BF316" s="109"/>
      <c r="BG316" s="109"/>
      <c r="BH316" s="109"/>
      <c r="BI316" s="109"/>
      <c r="BJ316" s="109"/>
      <c r="BK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63"/>
      <c r="J317" s="109"/>
      <c r="K317" s="109"/>
      <c r="L317" s="109"/>
      <c r="M317" s="109"/>
      <c r="N317" s="109"/>
      <c r="O317" s="164"/>
      <c r="P317" s="165"/>
      <c r="Q317" s="165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  <c r="AO317" s="109"/>
      <c r="AP317" s="109"/>
      <c r="AQ317" s="109"/>
      <c r="AR317" s="109"/>
      <c r="AS317" s="109"/>
      <c r="AT317" s="109"/>
      <c r="AU317" s="109"/>
      <c r="AV317" s="109"/>
      <c r="AW317" s="109"/>
      <c r="AX317" s="109"/>
      <c r="AY317" s="109"/>
      <c r="AZ317" s="109"/>
      <c r="BA317" s="109"/>
      <c r="BB317" s="109"/>
      <c r="BC317" s="109"/>
      <c r="BD317" s="109"/>
      <c r="BE317" s="109"/>
      <c r="BF317" s="109"/>
      <c r="BG317" s="109"/>
      <c r="BH317" s="109"/>
      <c r="BI317" s="109"/>
      <c r="BJ317" s="109"/>
      <c r="BK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63"/>
      <c r="J318" s="109"/>
      <c r="K318" s="109"/>
      <c r="L318" s="109"/>
      <c r="M318" s="109"/>
      <c r="N318" s="109"/>
      <c r="O318" s="164"/>
      <c r="P318" s="165"/>
      <c r="Q318" s="165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  <c r="AO318" s="109"/>
      <c r="AP318" s="109"/>
      <c r="AQ318" s="109"/>
      <c r="AR318" s="109"/>
      <c r="AS318" s="109"/>
      <c r="AT318" s="109"/>
      <c r="AU318" s="109"/>
      <c r="AV318" s="109"/>
      <c r="AW318" s="109"/>
      <c r="AX318" s="109"/>
      <c r="AY318" s="109"/>
      <c r="AZ318" s="109"/>
      <c r="BA318" s="109"/>
      <c r="BB318" s="109"/>
      <c r="BC318" s="109"/>
      <c r="BD318" s="109"/>
      <c r="BE318" s="109"/>
      <c r="BF318" s="109"/>
      <c r="BG318" s="109"/>
      <c r="BH318" s="109"/>
      <c r="BI318" s="109"/>
      <c r="BJ318" s="109"/>
      <c r="BK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63"/>
      <c r="J319" s="109"/>
      <c r="K319" s="109"/>
      <c r="L319" s="109"/>
      <c r="M319" s="109"/>
      <c r="N319" s="109"/>
      <c r="O319" s="164"/>
      <c r="P319" s="165"/>
      <c r="Q319" s="165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  <c r="AO319" s="109"/>
      <c r="AP319" s="109"/>
      <c r="AQ319" s="109"/>
      <c r="AR319" s="109"/>
      <c r="AS319" s="109"/>
      <c r="AT319" s="109"/>
      <c r="AU319" s="109"/>
      <c r="AV319" s="109"/>
      <c r="AW319" s="109"/>
      <c r="AX319" s="109"/>
      <c r="AY319" s="109"/>
      <c r="AZ319" s="109"/>
      <c r="BA319" s="109"/>
      <c r="BB319" s="109"/>
      <c r="BC319" s="109"/>
      <c r="BD319" s="109"/>
      <c r="BE319" s="109"/>
      <c r="BF319" s="109"/>
      <c r="BG319" s="109"/>
      <c r="BH319" s="109"/>
      <c r="BI319" s="109"/>
      <c r="BJ319" s="109"/>
      <c r="BK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63"/>
      <c r="J320" s="109"/>
      <c r="K320" s="109"/>
      <c r="L320" s="109"/>
      <c r="M320" s="109"/>
      <c r="N320" s="109"/>
      <c r="O320" s="164"/>
      <c r="P320" s="165"/>
      <c r="Q320" s="165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  <c r="AO320" s="109"/>
      <c r="AP320" s="109"/>
      <c r="AQ320" s="109"/>
      <c r="AR320" s="109"/>
      <c r="AS320" s="109"/>
      <c r="AT320" s="109"/>
      <c r="AU320" s="109"/>
      <c r="AV320" s="109"/>
      <c r="AW320" s="109"/>
      <c r="AX320" s="109"/>
      <c r="AY320" s="109"/>
      <c r="AZ320" s="109"/>
      <c r="BA320" s="109"/>
      <c r="BB320" s="109"/>
      <c r="BC320" s="109"/>
      <c r="BD320" s="109"/>
      <c r="BE320" s="109"/>
      <c r="BF320" s="109"/>
      <c r="BG320" s="109"/>
      <c r="BH320" s="109"/>
      <c r="BI320" s="109"/>
      <c r="BJ320" s="109"/>
      <c r="BK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63"/>
      <c r="J321" s="109"/>
      <c r="K321" s="109"/>
      <c r="L321" s="109"/>
      <c r="M321" s="109"/>
      <c r="N321" s="109"/>
      <c r="O321" s="164"/>
      <c r="P321" s="165"/>
      <c r="Q321" s="165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  <c r="AO321" s="109"/>
      <c r="AP321" s="109"/>
      <c r="AQ321" s="109"/>
      <c r="AR321" s="109"/>
      <c r="AS321" s="109"/>
      <c r="AT321" s="109"/>
      <c r="AU321" s="109"/>
      <c r="AV321" s="109"/>
      <c r="AW321" s="109"/>
      <c r="AX321" s="109"/>
      <c r="AY321" s="109"/>
      <c r="AZ321" s="109"/>
      <c r="BA321" s="109"/>
      <c r="BB321" s="109"/>
      <c r="BC321" s="109"/>
      <c r="BD321" s="109"/>
      <c r="BE321" s="109"/>
      <c r="BF321" s="109"/>
      <c r="BG321" s="109"/>
      <c r="BH321" s="109"/>
      <c r="BI321" s="109"/>
      <c r="BJ321" s="109"/>
      <c r="BK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63"/>
      <c r="J322" s="109"/>
      <c r="K322" s="109"/>
      <c r="L322" s="109"/>
      <c r="M322" s="109"/>
      <c r="N322" s="109"/>
      <c r="O322" s="164"/>
      <c r="P322" s="165"/>
      <c r="Q322" s="165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  <c r="AO322" s="109"/>
      <c r="AP322" s="109"/>
      <c r="AQ322" s="109"/>
      <c r="AR322" s="109"/>
      <c r="AS322" s="109"/>
      <c r="AT322" s="109"/>
      <c r="AU322" s="109"/>
      <c r="AV322" s="109"/>
      <c r="AW322" s="109"/>
      <c r="AX322" s="109"/>
      <c r="AY322" s="109"/>
      <c r="AZ322" s="109"/>
      <c r="BA322" s="109"/>
      <c r="BB322" s="109"/>
      <c r="BC322" s="109"/>
      <c r="BD322" s="109"/>
      <c r="BE322" s="109"/>
      <c r="BF322" s="109"/>
      <c r="BG322" s="109"/>
      <c r="BH322" s="109"/>
      <c r="BI322" s="109"/>
      <c r="BJ322" s="109"/>
      <c r="BK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63"/>
      <c r="J323" s="109"/>
      <c r="K323" s="109"/>
      <c r="L323" s="109"/>
      <c r="M323" s="109"/>
      <c r="N323" s="109"/>
      <c r="O323" s="164"/>
      <c r="P323" s="165"/>
      <c r="Q323" s="165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  <c r="AO323" s="109"/>
      <c r="AP323" s="109"/>
      <c r="AQ323" s="109"/>
      <c r="AR323" s="109"/>
      <c r="AS323" s="109"/>
      <c r="AT323" s="109"/>
      <c r="AU323" s="109"/>
      <c r="AV323" s="109"/>
      <c r="AW323" s="109"/>
      <c r="AX323" s="109"/>
      <c r="AY323" s="109"/>
      <c r="AZ323" s="109"/>
      <c r="BA323" s="109"/>
      <c r="BB323" s="109"/>
      <c r="BC323" s="109"/>
      <c r="BD323" s="109"/>
      <c r="BE323" s="109"/>
      <c r="BF323" s="109"/>
      <c r="BG323" s="109"/>
      <c r="BH323" s="109"/>
      <c r="BI323" s="109"/>
      <c r="BJ323" s="109"/>
      <c r="BK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63"/>
      <c r="J324" s="109"/>
      <c r="K324" s="109"/>
      <c r="L324" s="109"/>
      <c r="M324" s="109"/>
      <c r="N324" s="109"/>
      <c r="O324" s="164"/>
      <c r="P324" s="165"/>
      <c r="Q324" s="165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  <c r="AO324" s="109"/>
      <c r="AP324" s="109"/>
      <c r="AQ324" s="109"/>
      <c r="AR324" s="109"/>
      <c r="AS324" s="109"/>
      <c r="AT324" s="109"/>
      <c r="AU324" s="109"/>
      <c r="AV324" s="109"/>
      <c r="AW324" s="109"/>
      <c r="AX324" s="109"/>
      <c r="AY324" s="109"/>
      <c r="AZ324" s="109"/>
      <c r="BA324" s="109"/>
      <c r="BB324" s="109"/>
      <c r="BC324" s="109"/>
      <c r="BD324" s="109"/>
      <c r="BE324" s="109"/>
      <c r="BF324" s="109"/>
      <c r="BG324" s="109"/>
      <c r="BH324" s="109"/>
      <c r="BI324" s="109"/>
      <c r="BJ324" s="109"/>
      <c r="BK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63"/>
      <c r="J325" s="109"/>
      <c r="K325" s="109"/>
      <c r="L325" s="109"/>
      <c r="M325" s="109"/>
      <c r="N325" s="109"/>
      <c r="O325" s="164"/>
      <c r="P325" s="165"/>
      <c r="Q325" s="165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  <c r="AO325" s="109"/>
      <c r="AP325" s="109"/>
      <c r="AQ325" s="109"/>
      <c r="AR325" s="109"/>
      <c r="AS325" s="109"/>
      <c r="AT325" s="109"/>
      <c r="AU325" s="109"/>
      <c r="AV325" s="109"/>
      <c r="AW325" s="109"/>
      <c r="AX325" s="109"/>
      <c r="AY325" s="109"/>
      <c r="AZ325" s="109"/>
      <c r="BA325" s="109"/>
      <c r="BB325" s="109"/>
      <c r="BC325" s="109"/>
      <c r="BD325" s="109"/>
      <c r="BE325" s="109"/>
      <c r="BF325" s="109"/>
      <c r="BG325" s="109"/>
      <c r="BH325" s="109"/>
      <c r="BI325" s="109"/>
      <c r="BJ325" s="109"/>
      <c r="BK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63"/>
      <c r="J326" s="109"/>
      <c r="K326" s="109"/>
      <c r="L326" s="109"/>
      <c r="M326" s="109"/>
      <c r="N326" s="109"/>
      <c r="O326" s="164"/>
      <c r="P326" s="165"/>
      <c r="Q326" s="165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  <c r="AO326" s="109"/>
      <c r="AP326" s="109"/>
      <c r="AQ326" s="109"/>
      <c r="AR326" s="109"/>
      <c r="AS326" s="109"/>
      <c r="AT326" s="109"/>
      <c r="AU326" s="109"/>
      <c r="AV326" s="109"/>
      <c r="AW326" s="109"/>
      <c r="AX326" s="109"/>
      <c r="AY326" s="109"/>
      <c r="AZ326" s="109"/>
      <c r="BA326" s="109"/>
      <c r="BB326" s="109"/>
      <c r="BC326" s="109"/>
      <c r="BD326" s="109"/>
      <c r="BE326" s="109"/>
      <c r="BF326" s="109"/>
      <c r="BG326" s="109"/>
      <c r="BH326" s="109"/>
      <c r="BI326" s="109"/>
      <c r="BJ326" s="109"/>
      <c r="BK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63"/>
      <c r="J327" s="109"/>
      <c r="K327" s="109"/>
      <c r="L327" s="109"/>
      <c r="M327" s="109"/>
      <c r="N327" s="109"/>
      <c r="O327" s="164"/>
      <c r="P327" s="165"/>
      <c r="Q327" s="165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  <c r="AO327" s="109"/>
      <c r="AP327" s="109"/>
      <c r="AQ327" s="109"/>
      <c r="AR327" s="109"/>
      <c r="AS327" s="109"/>
      <c r="AT327" s="109"/>
      <c r="AU327" s="109"/>
      <c r="AV327" s="109"/>
      <c r="AW327" s="109"/>
      <c r="AX327" s="109"/>
      <c r="AY327" s="109"/>
      <c r="AZ327" s="109"/>
      <c r="BA327" s="109"/>
      <c r="BB327" s="109"/>
      <c r="BC327" s="109"/>
      <c r="BD327" s="109"/>
      <c r="BE327" s="109"/>
      <c r="BF327" s="109"/>
      <c r="BG327" s="109"/>
      <c r="BH327" s="109"/>
      <c r="BI327" s="109"/>
      <c r="BJ327" s="109"/>
      <c r="BK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63"/>
      <c r="J328" s="109"/>
      <c r="K328" s="109"/>
      <c r="L328" s="109"/>
      <c r="M328" s="109"/>
      <c r="N328" s="109"/>
      <c r="O328" s="164"/>
      <c r="P328" s="165"/>
      <c r="Q328" s="165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  <c r="AO328" s="109"/>
      <c r="AP328" s="109"/>
      <c r="AQ328" s="109"/>
      <c r="AR328" s="109"/>
      <c r="AS328" s="109"/>
      <c r="AT328" s="109"/>
      <c r="AU328" s="109"/>
      <c r="AV328" s="109"/>
      <c r="AW328" s="109"/>
      <c r="AX328" s="109"/>
      <c r="AY328" s="109"/>
      <c r="AZ328" s="109"/>
      <c r="BA328" s="109"/>
      <c r="BB328" s="109"/>
      <c r="BC328" s="109"/>
      <c r="BD328" s="109"/>
      <c r="BE328" s="109"/>
      <c r="BF328" s="109"/>
      <c r="BG328" s="109"/>
      <c r="BH328" s="109"/>
      <c r="BI328" s="109"/>
      <c r="BJ328" s="109"/>
      <c r="BK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63"/>
      <c r="J329" s="109"/>
      <c r="K329" s="109"/>
      <c r="L329" s="109"/>
      <c r="M329" s="109"/>
      <c r="N329" s="109"/>
      <c r="O329" s="164"/>
      <c r="P329" s="165"/>
      <c r="Q329" s="165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  <c r="AO329" s="109"/>
      <c r="AP329" s="109"/>
      <c r="AQ329" s="109"/>
      <c r="AR329" s="109"/>
      <c r="AS329" s="109"/>
      <c r="AT329" s="109"/>
      <c r="AU329" s="109"/>
      <c r="AV329" s="109"/>
      <c r="AW329" s="109"/>
      <c r="AX329" s="109"/>
      <c r="AY329" s="109"/>
      <c r="AZ329" s="109"/>
      <c r="BA329" s="109"/>
      <c r="BB329" s="109"/>
      <c r="BC329" s="109"/>
      <c r="BD329" s="109"/>
      <c r="BE329" s="109"/>
      <c r="BF329" s="109"/>
      <c r="BG329" s="109"/>
      <c r="BH329" s="109"/>
      <c r="BI329" s="109"/>
      <c r="BJ329" s="109"/>
      <c r="BK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63"/>
      <c r="J330" s="109"/>
      <c r="K330" s="109"/>
      <c r="L330" s="109"/>
      <c r="M330" s="109"/>
      <c r="N330" s="109"/>
      <c r="O330" s="164"/>
      <c r="P330" s="165"/>
      <c r="Q330" s="165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  <c r="AO330" s="109"/>
      <c r="AP330" s="109"/>
      <c r="AQ330" s="109"/>
      <c r="AR330" s="109"/>
      <c r="AS330" s="109"/>
      <c r="AT330" s="109"/>
      <c r="AU330" s="109"/>
      <c r="AV330" s="109"/>
      <c r="AW330" s="109"/>
      <c r="AX330" s="109"/>
      <c r="AY330" s="109"/>
      <c r="AZ330" s="109"/>
      <c r="BA330" s="109"/>
      <c r="BB330" s="109"/>
      <c r="BC330" s="109"/>
      <c r="BD330" s="109"/>
      <c r="BE330" s="109"/>
      <c r="BF330" s="109"/>
      <c r="BG330" s="109"/>
      <c r="BH330" s="109"/>
      <c r="BI330" s="109"/>
      <c r="BJ330" s="109"/>
      <c r="BK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63"/>
      <c r="J331" s="109"/>
      <c r="K331" s="109"/>
      <c r="L331" s="109"/>
      <c r="M331" s="109"/>
      <c r="N331" s="109"/>
      <c r="O331" s="164"/>
      <c r="P331" s="165"/>
      <c r="Q331" s="165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  <c r="AO331" s="109"/>
      <c r="AP331" s="109"/>
      <c r="AQ331" s="109"/>
      <c r="AR331" s="109"/>
      <c r="AS331" s="109"/>
      <c r="AT331" s="109"/>
      <c r="AU331" s="109"/>
      <c r="AV331" s="109"/>
      <c r="AW331" s="109"/>
      <c r="AX331" s="109"/>
      <c r="AY331" s="109"/>
      <c r="AZ331" s="109"/>
      <c r="BA331" s="109"/>
      <c r="BB331" s="109"/>
      <c r="BC331" s="109"/>
      <c r="BD331" s="109"/>
      <c r="BE331" s="109"/>
      <c r="BF331" s="109"/>
      <c r="BG331" s="109"/>
      <c r="BH331" s="109"/>
      <c r="BI331" s="109"/>
      <c r="BJ331" s="109"/>
      <c r="BK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63"/>
      <c r="J332" s="109"/>
      <c r="K332" s="109"/>
      <c r="L332" s="109"/>
      <c r="M332" s="109"/>
      <c r="N332" s="109"/>
      <c r="O332" s="164"/>
      <c r="P332" s="165"/>
      <c r="Q332" s="165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  <c r="AO332" s="109"/>
      <c r="AP332" s="109"/>
      <c r="AQ332" s="109"/>
      <c r="AR332" s="109"/>
      <c r="AS332" s="109"/>
      <c r="AT332" s="109"/>
      <c r="AU332" s="109"/>
      <c r="AV332" s="109"/>
      <c r="AW332" s="109"/>
      <c r="AX332" s="109"/>
      <c r="AY332" s="109"/>
      <c r="AZ332" s="109"/>
      <c r="BA332" s="109"/>
      <c r="BB332" s="109"/>
      <c r="BC332" s="109"/>
      <c r="BD332" s="109"/>
      <c r="BE332" s="109"/>
      <c r="BF332" s="109"/>
      <c r="BG332" s="109"/>
      <c r="BH332" s="109"/>
      <c r="BI332" s="109"/>
      <c r="BJ332" s="109"/>
      <c r="BK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63"/>
      <c r="J333" s="109"/>
      <c r="K333" s="109"/>
      <c r="L333" s="109"/>
      <c r="M333" s="109"/>
      <c r="N333" s="109"/>
      <c r="O333" s="164"/>
      <c r="P333" s="165"/>
      <c r="Q333" s="165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  <c r="AO333" s="109"/>
      <c r="AP333" s="109"/>
      <c r="AQ333" s="109"/>
      <c r="AR333" s="109"/>
      <c r="AS333" s="109"/>
      <c r="AT333" s="109"/>
      <c r="AU333" s="109"/>
      <c r="AV333" s="109"/>
      <c r="AW333" s="109"/>
      <c r="AX333" s="109"/>
      <c r="AY333" s="109"/>
      <c r="AZ333" s="109"/>
      <c r="BA333" s="109"/>
      <c r="BB333" s="109"/>
      <c r="BC333" s="109"/>
      <c r="BD333" s="109"/>
      <c r="BE333" s="109"/>
      <c r="BF333" s="109"/>
      <c r="BG333" s="109"/>
      <c r="BH333" s="109"/>
      <c r="BI333" s="109"/>
      <c r="BJ333" s="109"/>
      <c r="BK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63"/>
      <c r="J334" s="109"/>
      <c r="K334" s="109"/>
      <c r="L334" s="109"/>
      <c r="M334" s="109"/>
      <c r="N334" s="109"/>
      <c r="O334" s="164"/>
      <c r="P334" s="165"/>
      <c r="Q334" s="165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  <c r="AN334" s="109"/>
      <c r="AO334" s="109"/>
      <c r="AP334" s="109"/>
      <c r="AQ334" s="109"/>
      <c r="AR334" s="109"/>
      <c r="AS334" s="109"/>
      <c r="AT334" s="109"/>
      <c r="AU334" s="109"/>
      <c r="AV334" s="109"/>
      <c r="AW334" s="109"/>
      <c r="AX334" s="109"/>
      <c r="AY334" s="109"/>
      <c r="AZ334" s="109"/>
      <c r="BA334" s="109"/>
      <c r="BB334" s="109"/>
      <c r="BC334" s="109"/>
      <c r="BD334" s="109"/>
      <c r="BE334" s="109"/>
      <c r="BF334" s="109"/>
      <c r="BG334" s="109"/>
      <c r="BH334" s="109"/>
      <c r="BI334" s="109"/>
      <c r="BJ334" s="109"/>
      <c r="BK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63"/>
      <c r="J335" s="109"/>
      <c r="K335" s="109"/>
      <c r="L335" s="109"/>
      <c r="M335" s="109"/>
      <c r="N335" s="109"/>
      <c r="O335" s="164"/>
      <c r="P335" s="165"/>
      <c r="Q335" s="165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  <c r="AO335" s="109"/>
      <c r="AP335" s="109"/>
      <c r="AQ335" s="109"/>
      <c r="AR335" s="109"/>
      <c r="AS335" s="109"/>
      <c r="AT335" s="109"/>
      <c r="AU335" s="109"/>
      <c r="AV335" s="109"/>
      <c r="AW335" s="109"/>
      <c r="AX335" s="109"/>
      <c r="AY335" s="109"/>
      <c r="AZ335" s="109"/>
      <c r="BA335" s="109"/>
      <c r="BB335" s="109"/>
      <c r="BC335" s="109"/>
      <c r="BD335" s="109"/>
      <c r="BE335" s="109"/>
      <c r="BF335" s="109"/>
      <c r="BG335" s="109"/>
      <c r="BH335" s="109"/>
      <c r="BI335" s="109"/>
      <c r="BJ335" s="109"/>
      <c r="BK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63"/>
      <c r="J336" s="109"/>
      <c r="K336" s="109"/>
      <c r="L336" s="109"/>
      <c r="M336" s="109"/>
      <c r="N336" s="109"/>
      <c r="O336" s="164"/>
      <c r="P336" s="165"/>
      <c r="Q336" s="165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  <c r="AN336" s="109"/>
      <c r="AO336" s="109"/>
      <c r="AP336" s="109"/>
      <c r="AQ336" s="109"/>
      <c r="AR336" s="109"/>
      <c r="AS336" s="109"/>
      <c r="AT336" s="109"/>
      <c r="AU336" s="109"/>
      <c r="AV336" s="109"/>
      <c r="AW336" s="109"/>
      <c r="AX336" s="109"/>
      <c r="AY336" s="109"/>
      <c r="AZ336" s="109"/>
      <c r="BA336" s="109"/>
      <c r="BB336" s="109"/>
      <c r="BC336" s="109"/>
      <c r="BD336" s="109"/>
      <c r="BE336" s="109"/>
      <c r="BF336" s="109"/>
      <c r="BG336" s="109"/>
      <c r="BH336" s="109"/>
      <c r="BI336" s="109"/>
      <c r="BJ336" s="109"/>
      <c r="BK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63"/>
      <c r="J337" s="109"/>
      <c r="K337" s="109"/>
      <c r="L337" s="109"/>
      <c r="M337" s="109"/>
      <c r="N337" s="109"/>
      <c r="O337" s="164"/>
      <c r="P337" s="165"/>
      <c r="Q337" s="165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  <c r="AO337" s="109"/>
      <c r="AP337" s="109"/>
      <c r="AQ337" s="109"/>
      <c r="AR337" s="109"/>
      <c r="AS337" s="109"/>
      <c r="AT337" s="109"/>
      <c r="AU337" s="109"/>
      <c r="AV337" s="109"/>
      <c r="AW337" s="109"/>
      <c r="AX337" s="109"/>
      <c r="AY337" s="109"/>
      <c r="AZ337" s="109"/>
      <c r="BA337" s="109"/>
      <c r="BB337" s="109"/>
      <c r="BC337" s="109"/>
      <c r="BD337" s="109"/>
      <c r="BE337" s="109"/>
      <c r="BF337" s="109"/>
      <c r="BG337" s="109"/>
      <c r="BH337" s="109"/>
      <c r="BI337" s="109"/>
      <c r="BJ337" s="109"/>
      <c r="BK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63"/>
      <c r="J338" s="109"/>
      <c r="K338" s="109"/>
      <c r="L338" s="109"/>
      <c r="M338" s="109"/>
      <c r="N338" s="109"/>
      <c r="O338" s="164"/>
      <c r="P338" s="165"/>
      <c r="Q338" s="165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  <c r="AN338" s="109"/>
      <c r="AO338" s="109"/>
      <c r="AP338" s="109"/>
      <c r="AQ338" s="109"/>
      <c r="AR338" s="109"/>
      <c r="AS338" s="109"/>
      <c r="AT338" s="109"/>
      <c r="AU338" s="109"/>
      <c r="AV338" s="109"/>
      <c r="AW338" s="109"/>
      <c r="AX338" s="109"/>
      <c r="AY338" s="109"/>
      <c r="AZ338" s="109"/>
      <c r="BA338" s="109"/>
      <c r="BB338" s="109"/>
      <c r="BC338" s="109"/>
      <c r="BD338" s="109"/>
      <c r="BE338" s="109"/>
      <c r="BF338" s="109"/>
      <c r="BG338" s="109"/>
      <c r="BH338" s="109"/>
      <c r="BI338" s="109"/>
      <c r="BJ338" s="109"/>
      <c r="BK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63"/>
      <c r="J339" s="109"/>
      <c r="K339" s="109"/>
      <c r="L339" s="109"/>
      <c r="M339" s="109"/>
      <c r="N339" s="109"/>
      <c r="O339" s="164"/>
      <c r="P339" s="165"/>
      <c r="Q339" s="165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  <c r="AO339" s="109"/>
      <c r="AP339" s="109"/>
      <c r="AQ339" s="109"/>
      <c r="AR339" s="109"/>
      <c r="AS339" s="109"/>
      <c r="AT339" s="109"/>
      <c r="AU339" s="109"/>
      <c r="AV339" s="109"/>
      <c r="AW339" s="109"/>
      <c r="AX339" s="109"/>
      <c r="AY339" s="109"/>
      <c r="AZ339" s="109"/>
      <c r="BA339" s="109"/>
      <c r="BB339" s="109"/>
      <c r="BC339" s="109"/>
      <c r="BD339" s="109"/>
      <c r="BE339" s="109"/>
      <c r="BF339" s="109"/>
      <c r="BG339" s="109"/>
      <c r="BH339" s="109"/>
      <c r="BI339" s="109"/>
      <c r="BJ339" s="109"/>
      <c r="BK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63"/>
      <c r="J340" s="109"/>
      <c r="K340" s="109"/>
      <c r="L340" s="109"/>
      <c r="M340" s="109"/>
      <c r="N340" s="109"/>
      <c r="O340" s="164"/>
      <c r="P340" s="165"/>
      <c r="Q340" s="165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  <c r="AO340" s="109"/>
      <c r="AP340" s="109"/>
      <c r="AQ340" s="109"/>
      <c r="AR340" s="109"/>
      <c r="AS340" s="109"/>
      <c r="AT340" s="109"/>
      <c r="AU340" s="109"/>
      <c r="AV340" s="109"/>
      <c r="AW340" s="109"/>
      <c r="AX340" s="109"/>
      <c r="AY340" s="109"/>
      <c r="AZ340" s="109"/>
      <c r="BA340" s="109"/>
      <c r="BB340" s="109"/>
      <c r="BC340" s="109"/>
      <c r="BD340" s="109"/>
      <c r="BE340" s="109"/>
      <c r="BF340" s="109"/>
      <c r="BG340" s="109"/>
      <c r="BH340" s="109"/>
      <c r="BI340" s="109"/>
      <c r="BJ340" s="109"/>
      <c r="BK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63"/>
      <c r="J341" s="109"/>
      <c r="K341" s="109"/>
      <c r="L341" s="109"/>
      <c r="M341" s="109"/>
      <c r="N341" s="109"/>
      <c r="O341" s="164"/>
      <c r="P341" s="165"/>
      <c r="Q341" s="165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  <c r="AO341" s="109"/>
      <c r="AP341" s="109"/>
      <c r="AQ341" s="109"/>
      <c r="AR341" s="109"/>
      <c r="AS341" s="109"/>
      <c r="AT341" s="109"/>
      <c r="AU341" s="109"/>
      <c r="AV341" s="109"/>
      <c r="AW341" s="109"/>
      <c r="AX341" s="109"/>
      <c r="AY341" s="109"/>
      <c r="AZ341" s="109"/>
      <c r="BA341" s="109"/>
      <c r="BB341" s="109"/>
      <c r="BC341" s="109"/>
      <c r="BD341" s="109"/>
      <c r="BE341" s="109"/>
      <c r="BF341" s="109"/>
      <c r="BG341" s="109"/>
      <c r="BH341" s="109"/>
      <c r="BI341" s="109"/>
      <c r="BJ341" s="109"/>
      <c r="BK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63"/>
      <c r="J342" s="109"/>
      <c r="K342" s="109"/>
      <c r="L342" s="109"/>
      <c r="M342" s="109"/>
      <c r="N342" s="109"/>
      <c r="O342" s="164"/>
      <c r="P342" s="165"/>
      <c r="Q342" s="165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  <c r="AO342" s="109"/>
      <c r="AP342" s="109"/>
      <c r="AQ342" s="109"/>
      <c r="AR342" s="109"/>
      <c r="AS342" s="109"/>
      <c r="AT342" s="109"/>
      <c r="AU342" s="109"/>
      <c r="AV342" s="109"/>
      <c r="AW342" s="109"/>
      <c r="AX342" s="109"/>
      <c r="AY342" s="109"/>
      <c r="AZ342" s="109"/>
      <c r="BA342" s="109"/>
      <c r="BB342" s="109"/>
      <c r="BC342" s="109"/>
      <c r="BD342" s="109"/>
      <c r="BE342" s="109"/>
      <c r="BF342" s="109"/>
      <c r="BG342" s="109"/>
      <c r="BH342" s="109"/>
      <c r="BI342" s="109"/>
      <c r="BJ342" s="109"/>
      <c r="BK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63"/>
      <c r="J343" s="109"/>
      <c r="K343" s="109"/>
      <c r="L343" s="109"/>
      <c r="M343" s="109"/>
      <c r="N343" s="109"/>
      <c r="O343" s="164"/>
      <c r="P343" s="165"/>
      <c r="Q343" s="165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  <c r="AO343" s="109"/>
      <c r="AP343" s="109"/>
      <c r="AQ343" s="109"/>
      <c r="AR343" s="109"/>
      <c r="AS343" s="109"/>
      <c r="AT343" s="109"/>
      <c r="AU343" s="109"/>
      <c r="AV343" s="109"/>
      <c r="AW343" s="109"/>
      <c r="AX343" s="109"/>
      <c r="AY343" s="109"/>
      <c r="AZ343" s="109"/>
      <c r="BA343" s="109"/>
      <c r="BB343" s="109"/>
      <c r="BC343" s="109"/>
      <c r="BD343" s="109"/>
      <c r="BE343" s="109"/>
      <c r="BF343" s="109"/>
      <c r="BG343" s="109"/>
      <c r="BH343" s="109"/>
      <c r="BI343" s="109"/>
      <c r="BJ343" s="109"/>
      <c r="BK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63"/>
      <c r="J344" s="109"/>
      <c r="K344" s="109"/>
      <c r="L344" s="109"/>
      <c r="M344" s="109"/>
      <c r="N344" s="109"/>
      <c r="O344" s="164"/>
      <c r="P344" s="165"/>
      <c r="Q344" s="165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  <c r="AO344" s="109"/>
      <c r="AP344" s="109"/>
      <c r="AQ344" s="109"/>
      <c r="AR344" s="109"/>
      <c r="AS344" s="109"/>
      <c r="AT344" s="109"/>
      <c r="AU344" s="109"/>
      <c r="AV344" s="109"/>
      <c r="AW344" s="109"/>
      <c r="AX344" s="109"/>
      <c r="AY344" s="109"/>
      <c r="AZ344" s="109"/>
      <c r="BA344" s="109"/>
      <c r="BB344" s="109"/>
      <c r="BC344" s="109"/>
      <c r="BD344" s="109"/>
      <c r="BE344" s="109"/>
      <c r="BF344" s="109"/>
      <c r="BG344" s="109"/>
      <c r="BH344" s="109"/>
      <c r="BI344" s="109"/>
      <c r="BJ344" s="109"/>
      <c r="BK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63"/>
      <c r="J345" s="109"/>
      <c r="K345" s="109"/>
      <c r="L345" s="109"/>
      <c r="M345" s="109"/>
      <c r="N345" s="109"/>
      <c r="O345" s="164"/>
      <c r="P345" s="165"/>
      <c r="Q345" s="165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  <c r="AO345" s="109"/>
      <c r="AP345" s="109"/>
      <c r="AQ345" s="109"/>
      <c r="AR345" s="109"/>
      <c r="AS345" s="109"/>
      <c r="AT345" s="109"/>
      <c r="AU345" s="109"/>
      <c r="AV345" s="109"/>
      <c r="AW345" s="109"/>
      <c r="AX345" s="109"/>
      <c r="AY345" s="109"/>
      <c r="AZ345" s="109"/>
      <c r="BA345" s="109"/>
      <c r="BB345" s="109"/>
      <c r="BC345" s="109"/>
      <c r="BD345" s="109"/>
      <c r="BE345" s="109"/>
      <c r="BF345" s="109"/>
      <c r="BG345" s="109"/>
      <c r="BH345" s="109"/>
      <c r="BI345" s="109"/>
      <c r="BJ345" s="109"/>
      <c r="BK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63"/>
      <c r="J346" s="109"/>
      <c r="K346" s="109"/>
      <c r="L346" s="109"/>
      <c r="M346" s="109"/>
      <c r="N346" s="109"/>
      <c r="O346" s="164"/>
      <c r="P346" s="165"/>
      <c r="Q346" s="165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  <c r="AO346" s="109"/>
      <c r="AP346" s="109"/>
      <c r="AQ346" s="109"/>
      <c r="AR346" s="109"/>
      <c r="AS346" s="109"/>
      <c r="AT346" s="109"/>
      <c r="AU346" s="109"/>
      <c r="AV346" s="109"/>
      <c r="AW346" s="109"/>
      <c r="AX346" s="109"/>
      <c r="AY346" s="109"/>
      <c r="AZ346" s="109"/>
      <c r="BA346" s="109"/>
      <c r="BB346" s="109"/>
      <c r="BC346" s="109"/>
      <c r="BD346" s="109"/>
      <c r="BE346" s="109"/>
      <c r="BF346" s="109"/>
      <c r="BG346" s="109"/>
      <c r="BH346" s="109"/>
      <c r="BI346" s="109"/>
      <c r="BJ346" s="109"/>
      <c r="BK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63"/>
      <c r="J347" s="109"/>
      <c r="K347" s="109"/>
      <c r="L347" s="109"/>
      <c r="M347" s="109"/>
      <c r="N347" s="109"/>
      <c r="O347" s="164"/>
      <c r="P347" s="165"/>
      <c r="Q347" s="165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  <c r="AO347" s="109"/>
      <c r="AP347" s="109"/>
      <c r="AQ347" s="109"/>
      <c r="AR347" s="109"/>
      <c r="AS347" s="109"/>
      <c r="AT347" s="109"/>
      <c r="AU347" s="109"/>
      <c r="AV347" s="109"/>
      <c r="AW347" s="109"/>
      <c r="AX347" s="109"/>
      <c r="AY347" s="109"/>
      <c r="AZ347" s="109"/>
      <c r="BA347" s="109"/>
      <c r="BB347" s="109"/>
      <c r="BC347" s="109"/>
      <c r="BD347" s="109"/>
      <c r="BE347" s="109"/>
      <c r="BF347" s="109"/>
      <c r="BG347" s="109"/>
      <c r="BH347" s="109"/>
      <c r="BI347" s="109"/>
      <c r="BJ347" s="109"/>
      <c r="BK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63"/>
      <c r="J348" s="109"/>
      <c r="K348" s="109"/>
      <c r="L348" s="109"/>
      <c r="M348" s="109"/>
      <c r="N348" s="109"/>
      <c r="O348" s="164"/>
      <c r="P348" s="165"/>
      <c r="Q348" s="165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  <c r="AO348" s="109"/>
      <c r="AP348" s="109"/>
      <c r="AQ348" s="109"/>
      <c r="AR348" s="109"/>
      <c r="AS348" s="109"/>
      <c r="AT348" s="109"/>
      <c r="AU348" s="109"/>
      <c r="AV348" s="109"/>
      <c r="AW348" s="109"/>
      <c r="AX348" s="109"/>
      <c r="AY348" s="109"/>
      <c r="AZ348" s="109"/>
      <c r="BA348" s="109"/>
      <c r="BB348" s="109"/>
      <c r="BC348" s="109"/>
      <c r="BD348" s="109"/>
      <c r="BE348" s="109"/>
      <c r="BF348" s="109"/>
      <c r="BG348" s="109"/>
      <c r="BH348" s="109"/>
      <c r="BI348" s="109"/>
      <c r="BJ348" s="109"/>
      <c r="BK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63"/>
      <c r="J349" s="109"/>
      <c r="K349" s="109"/>
      <c r="L349" s="109"/>
      <c r="M349" s="109"/>
      <c r="N349" s="109"/>
      <c r="O349" s="164"/>
      <c r="P349" s="165"/>
      <c r="Q349" s="165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  <c r="AO349" s="109"/>
      <c r="AP349" s="109"/>
      <c r="AQ349" s="109"/>
      <c r="AR349" s="109"/>
      <c r="AS349" s="109"/>
      <c r="AT349" s="109"/>
      <c r="AU349" s="109"/>
      <c r="AV349" s="109"/>
      <c r="AW349" s="109"/>
      <c r="AX349" s="109"/>
      <c r="AY349" s="109"/>
      <c r="AZ349" s="109"/>
      <c r="BA349" s="109"/>
      <c r="BB349" s="109"/>
      <c r="BC349" s="109"/>
      <c r="BD349" s="109"/>
      <c r="BE349" s="109"/>
      <c r="BF349" s="109"/>
      <c r="BG349" s="109"/>
      <c r="BH349" s="109"/>
      <c r="BI349" s="109"/>
      <c r="BJ349" s="109"/>
      <c r="BK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63"/>
      <c r="J350" s="109"/>
      <c r="K350" s="109"/>
      <c r="L350" s="109"/>
      <c r="M350" s="109"/>
      <c r="N350" s="109"/>
      <c r="O350" s="164"/>
      <c r="P350" s="165"/>
      <c r="Q350" s="165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  <c r="AO350" s="109"/>
      <c r="AP350" s="109"/>
      <c r="AQ350" s="109"/>
      <c r="AR350" s="109"/>
      <c r="AS350" s="109"/>
      <c r="AT350" s="109"/>
      <c r="AU350" s="109"/>
      <c r="AV350" s="109"/>
      <c r="AW350" s="109"/>
      <c r="AX350" s="109"/>
      <c r="AY350" s="109"/>
      <c r="AZ350" s="109"/>
      <c r="BA350" s="109"/>
      <c r="BB350" s="109"/>
      <c r="BC350" s="109"/>
      <c r="BD350" s="109"/>
      <c r="BE350" s="109"/>
      <c r="BF350" s="109"/>
      <c r="BG350" s="109"/>
      <c r="BH350" s="109"/>
      <c r="BI350" s="109"/>
      <c r="BJ350" s="109"/>
      <c r="BK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63"/>
      <c r="J351" s="109"/>
      <c r="K351" s="109"/>
      <c r="L351" s="109"/>
      <c r="M351" s="109"/>
      <c r="N351" s="109"/>
      <c r="O351" s="164"/>
      <c r="P351" s="165"/>
      <c r="Q351" s="165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  <c r="AO351" s="109"/>
      <c r="AP351" s="109"/>
      <c r="AQ351" s="109"/>
      <c r="AR351" s="109"/>
      <c r="AS351" s="109"/>
      <c r="AT351" s="109"/>
      <c r="AU351" s="109"/>
      <c r="AV351" s="109"/>
      <c r="AW351" s="109"/>
      <c r="AX351" s="109"/>
      <c r="AY351" s="109"/>
      <c r="AZ351" s="109"/>
      <c r="BA351" s="109"/>
      <c r="BB351" s="109"/>
      <c r="BC351" s="109"/>
      <c r="BD351" s="109"/>
      <c r="BE351" s="109"/>
      <c r="BF351" s="109"/>
      <c r="BG351" s="109"/>
      <c r="BH351" s="109"/>
      <c r="BI351" s="109"/>
      <c r="BJ351" s="109"/>
      <c r="BK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63"/>
      <c r="J352" s="109"/>
      <c r="K352" s="109"/>
      <c r="L352" s="109"/>
      <c r="M352" s="109"/>
      <c r="N352" s="109"/>
      <c r="O352" s="164"/>
      <c r="P352" s="165"/>
      <c r="Q352" s="165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  <c r="AO352" s="109"/>
      <c r="AP352" s="109"/>
      <c r="AQ352" s="109"/>
      <c r="AR352" s="109"/>
      <c r="AS352" s="109"/>
      <c r="AT352" s="109"/>
      <c r="AU352" s="109"/>
      <c r="AV352" s="109"/>
      <c r="AW352" s="109"/>
      <c r="AX352" s="109"/>
      <c r="AY352" s="109"/>
      <c r="AZ352" s="109"/>
      <c r="BA352" s="109"/>
      <c r="BB352" s="109"/>
      <c r="BC352" s="109"/>
      <c r="BD352" s="109"/>
      <c r="BE352" s="109"/>
      <c r="BF352" s="109"/>
      <c r="BG352" s="109"/>
      <c r="BH352" s="109"/>
      <c r="BI352" s="109"/>
      <c r="BJ352" s="109"/>
      <c r="BK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63"/>
      <c r="J353" s="109"/>
      <c r="K353" s="109"/>
      <c r="L353" s="109"/>
      <c r="M353" s="109"/>
      <c r="N353" s="109"/>
      <c r="O353" s="164"/>
      <c r="P353" s="165"/>
      <c r="Q353" s="165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  <c r="AO353" s="109"/>
      <c r="AP353" s="109"/>
      <c r="AQ353" s="109"/>
      <c r="AR353" s="109"/>
      <c r="AS353" s="109"/>
      <c r="AT353" s="109"/>
      <c r="AU353" s="109"/>
      <c r="AV353" s="109"/>
      <c r="AW353" s="109"/>
      <c r="AX353" s="109"/>
      <c r="AY353" s="109"/>
      <c r="AZ353" s="109"/>
      <c r="BA353" s="109"/>
      <c r="BB353" s="109"/>
      <c r="BC353" s="109"/>
      <c r="BD353" s="109"/>
      <c r="BE353" s="109"/>
      <c r="BF353" s="109"/>
      <c r="BG353" s="109"/>
      <c r="BH353" s="109"/>
      <c r="BI353" s="109"/>
      <c r="BJ353" s="109"/>
      <c r="BK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63"/>
      <c r="J354" s="109"/>
      <c r="K354" s="109"/>
      <c r="L354" s="109"/>
      <c r="M354" s="109"/>
      <c r="N354" s="109"/>
      <c r="O354" s="164"/>
      <c r="P354" s="165"/>
      <c r="Q354" s="165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09"/>
      <c r="AQ354" s="109"/>
      <c r="AR354" s="109"/>
      <c r="AS354" s="109"/>
      <c r="AT354" s="109"/>
      <c r="AU354" s="109"/>
      <c r="AV354" s="109"/>
      <c r="AW354" s="109"/>
      <c r="AX354" s="109"/>
      <c r="AY354" s="109"/>
      <c r="AZ354" s="109"/>
      <c r="BA354" s="109"/>
      <c r="BB354" s="109"/>
      <c r="BC354" s="109"/>
      <c r="BD354" s="109"/>
      <c r="BE354" s="109"/>
      <c r="BF354" s="109"/>
      <c r="BG354" s="109"/>
      <c r="BH354" s="109"/>
      <c r="BI354" s="109"/>
      <c r="BJ354" s="109"/>
      <c r="BK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63"/>
      <c r="J355" s="109"/>
      <c r="K355" s="109"/>
      <c r="L355" s="109"/>
      <c r="M355" s="109"/>
      <c r="N355" s="109"/>
      <c r="O355" s="164"/>
      <c r="P355" s="165"/>
      <c r="Q355" s="165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109"/>
      <c r="AR355" s="109"/>
      <c r="AS355" s="109"/>
      <c r="AT355" s="109"/>
      <c r="AU355" s="109"/>
      <c r="AV355" s="109"/>
      <c r="AW355" s="109"/>
      <c r="AX355" s="109"/>
      <c r="AY355" s="109"/>
      <c r="AZ355" s="109"/>
      <c r="BA355" s="109"/>
      <c r="BB355" s="109"/>
      <c r="BC355" s="109"/>
      <c r="BD355" s="109"/>
      <c r="BE355" s="109"/>
      <c r="BF355" s="109"/>
      <c r="BG355" s="109"/>
      <c r="BH355" s="109"/>
      <c r="BI355" s="109"/>
      <c r="BJ355" s="109"/>
      <c r="BK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63"/>
      <c r="J356" s="109"/>
      <c r="K356" s="109"/>
      <c r="L356" s="109"/>
      <c r="M356" s="109"/>
      <c r="N356" s="109"/>
      <c r="O356" s="164"/>
      <c r="P356" s="165"/>
      <c r="Q356" s="165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  <c r="AO356" s="109"/>
      <c r="AP356" s="109"/>
      <c r="AQ356" s="109"/>
      <c r="AR356" s="109"/>
      <c r="AS356" s="109"/>
      <c r="AT356" s="109"/>
      <c r="AU356" s="109"/>
      <c r="AV356" s="109"/>
      <c r="AW356" s="109"/>
      <c r="AX356" s="109"/>
      <c r="AY356" s="109"/>
      <c r="AZ356" s="109"/>
      <c r="BA356" s="109"/>
      <c r="BB356" s="109"/>
      <c r="BC356" s="109"/>
      <c r="BD356" s="109"/>
      <c r="BE356" s="109"/>
      <c r="BF356" s="109"/>
      <c r="BG356" s="109"/>
      <c r="BH356" s="109"/>
      <c r="BI356" s="109"/>
      <c r="BJ356" s="109"/>
      <c r="BK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63"/>
      <c r="J357" s="109"/>
      <c r="K357" s="109"/>
      <c r="L357" s="109"/>
      <c r="M357" s="109"/>
      <c r="N357" s="109"/>
      <c r="O357" s="164"/>
      <c r="P357" s="165"/>
      <c r="Q357" s="165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109"/>
      <c r="AR357" s="109"/>
      <c r="AS357" s="109"/>
      <c r="AT357" s="109"/>
      <c r="AU357" s="109"/>
      <c r="AV357" s="109"/>
      <c r="AW357" s="109"/>
      <c r="AX357" s="109"/>
      <c r="AY357" s="109"/>
      <c r="AZ357" s="109"/>
      <c r="BA357" s="109"/>
      <c r="BB357" s="109"/>
      <c r="BC357" s="109"/>
      <c r="BD357" s="109"/>
      <c r="BE357" s="109"/>
      <c r="BF357" s="109"/>
      <c r="BG357" s="109"/>
      <c r="BH357" s="109"/>
      <c r="BI357" s="109"/>
      <c r="BJ357" s="109"/>
      <c r="BK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63"/>
      <c r="J358" s="109"/>
      <c r="K358" s="109"/>
      <c r="L358" s="109"/>
      <c r="M358" s="109"/>
      <c r="N358" s="109"/>
      <c r="O358" s="164"/>
      <c r="P358" s="165"/>
      <c r="Q358" s="165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  <c r="AO358" s="109"/>
      <c r="AP358" s="109"/>
      <c r="AQ358" s="109"/>
      <c r="AR358" s="109"/>
      <c r="AS358" s="109"/>
      <c r="AT358" s="109"/>
      <c r="AU358" s="109"/>
      <c r="AV358" s="109"/>
      <c r="AW358" s="109"/>
      <c r="AX358" s="109"/>
      <c r="AY358" s="109"/>
      <c r="AZ358" s="109"/>
      <c r="BA358" s="109"/>
      <c r="BB358" s="109"/>
      <c r="BC358" s="109"/>
      <c r="BD358" s="109"/>
      <c r="BE358" s="109"/>
      <c r="BF358" s="109"/>
      <c r="BG358" s="109"/>
      <c r="BH358" s="109"/>
      <c r="BI358" s="109"/>
      <c r="BJ358" s="109"/>
      <c r="BK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63"/>
      <c r="J359" s="109"/>
      <c r="K359" s="109"/>
      <c r="L359" s="109"/>
      <c r="M359" s="109"/>
      <c r="N359" s="109"/>
      <c r="O359" s="164"/>
      <c r="P359" s="165"/>
      <c r="Q359" s="165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  <c r="AY359" s="109"/>
      <c r="AZ359" s="109"/>
      <c r="BA359" s="109"/>
      <c r="BB359" s="109"/>
      <c r="BC359" s="109"/>
      <c r="BD359" s="109"/>
      <c r="BE359" s="109"/>
      <c r="BF359" s="109"/>
      <c r="BG359" s="109"/>
      <c r="BH359" s="109"/>
      <c r="BI359" s="109"/>
      <c r="BJ359" s="109"/>
      <c r="BK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63"/>
      <c r="J360" s="109"/>
      <c r="K360" s="109"/>
      <c r="L360" s="109"/>
      <c r="M360" s="109"/>
      <c r="N360" s="109"/>
      <c r="O360" s="164"/>
      <c r="P360" s="165"/>
      <c r="Q360" s="165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  <c r="AO360" s="109"/>
      <c r="AP360" s="109"/>
      <c r="AQ360" s="109"/>
      <c r="AR360" s="109"/>
      <c r="AS360" s="109"/>
      <c r="AT360" s="109"/>
      <c r="AU360" s="109"/>
      <c r="AV360" s="109"/>
      <c r="AW360" s="109"/>
      <c r="AX360" s="109"/>
      <c r="AY360" s="109"/>
      <c r="AZ360" s="109"/>
      <c r="BA360" s="109"/>
      <c r="BB360" s="109"/>
      <c r="BC360" s="109"/>
      <c r="BD360" s="109"/>
      <c r="BE360" s="109"/>
      <c r="BF360" s="109"/>
      <c r="BG360" s="109"/>
      <c r="BH360" s="109"/>
      <c r="BI360" s="109"/>
      <c r="BJ360" s="109"/>
      <c r="BK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63"/>
      <c r="J361" s="109"/>
      <c r="K361" s="109"/>
      <c r="L361" s="109"/>
      <c r="M361" s="109"/>
      <c r="N361" s="109"/>
      <c r="O361" s="164"/>
      <c r="P361" s="165"/>
      <c r="Q361" s="165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  <c r="AO361" s="109"/>
      <c r="AP361" s="109"/>
      <c r="AQ361" s="109"/>
      <c r="AR361" s="109"/>
      <c r="AS361" s="109"/>
      <c r="AT361" s="109"/>
      <c r="AU361" s="109"/>
      <c r="AV361" s="109"/>
      <c r="AW361" s="109"/>
      <c r="AX361" s="109"/>
      <c r="AY361" s="109"/>
      <c r="AZ361" s="109"/>
      <c r="BA361" s="109"/>
      <c r="BB361" s="109"/>
      <c r="BC361" s="109"/>
      <c r="BD361" s="109"/>
      <c r="BE361" s="109"/>
      <c r="BF361" s="109"/>
      <c r="BG361" s="109"/>
      <c r="BH361" s="109"/>
      <c r="BI361" s="109"/>
      <c r="BJ361" s="109"/>
      <c r="BK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63"/>
      <c r="J362" s="109"/>
      <c r="K362" s="109"/>
      <c r="L362" s="109"/>
      <c r="M362" s="109"/>
      <c r="N362" s="109"/>
      <c r="O362" s="164"/>
      <c r="P362" s="165"/>
      <c r="Q362" s="165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  <c r="AO362" s="109"/>
      <c r="AP362" s="109"/>
      <c r="AQ362" s="109"/>
      <c r="AR362" s="109"/>
      <c r="AS362" s="109"/>
      <c r="AT362" s="109"/>
      <c r="AU362" s="109"/>
      <c r="AV362" s="109"/>
      <c r="AW362" s="109"/>
      <c r="AX362" s="109"/>
      <c r="AY362" s="109"/>
      <c r="AZ362" s="109"/>
      <c r="BA362" s="109"/>
      <c r="BB362" s="109"/>
      <c r="BC362" s="109"/>
      <c r="BD362" s="109"/>
      <c r="BE362" s="109"/>
      <c r="BF362" s="109"/>
      <c r="BG362" s="109"/>
      <c r="BH362" s="109"/>
      <c r="BI362" s="109"/>
      <c r="BJ362" s="109"/>
      <c r="BK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63"/>
      <c r="J363" s="109"/>
      <c r="K363" s="109"/>
      <c r="L363" s="109"/>
      <c r="M363" s="109"/>
      <c r="N363" s="109"/>
      <c r="O363" s="164"/>
      <c r="P363" s="165"/>
      <c r="Q363" s="165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09"/>
      <c r="AS363" s="109"/>
      <c r="AT363" s="109"/>
      <c r="AU363" s="109"/>
      <c r="AV363" s="109"/>
      <c r="AW363" s="109"/>
      <c r="AX363" s="109"/>
      <c r="AY363" s="109"/>
      <c r="AZ363" s="109"/>
      <c r="BA363" s="109"/>
      <c r="BB363" s="109"/>
      <c r="BC363" s="109"/>
      <c r="BD363" s="109"/>
      <c r="BE363" s="109"/>
      <c r="BF363" s="109"/>
      <c r="BG363" s="109"/>
      <c r="BH363" s="109"/>
      <c r="BI363" s="109"/>
      <c r="BJ363" s="109"/>
      <c r="BK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63"/>
      <c r="J364" s="109"/>
      <c r="K364" s="109"/>
      <c r="L364" s="109"/>
      <c r="M364" s="109"/>
      <c r="N364" s="109"/>
      <c r="O364" s="164"/>
      <c r="P364" s="165"/>
      <c r="Q364" s="165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  <c r="AO364" s="109"/>
      <c r="AP364" s="109"/>
      <c r="AQ364" s="109"/>
      <c r="AR364" s="109"/>
      <c r="AS364" s="109"/>
      <c r="AT364" s="109"/>
      <c r="AU364" s="109"/>
      <c r="AV364" s="109"/>
      <c r="AW364" s="109"/>
      <c r="AX364" s="109"/>
      <c r="AY364" s="109"/>
      <c r="AZ364" s="109"/>
      <c r="BA364" s="109"/>
      <c r="BB364" s="109"/>
      <c r="BC364" s="109"/>
      <c r="BD364" s="109"/>
      <c r="BE364" s="109"/>
      <c r="BF364" s="109"/>
      <c r="BG364" s="109"/>
      <c r="BH364" s="109"/>
      <c r="BI364" s="109"/>
      <c r="BJ364" s="109"/>
      <c r="BK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63"/>
      <c r="J365" s="109"/>
      <c r="K365" s="109"/>
      <c r="L365" s="109"/>
      <c r="M365" s="109"/>
      <c r="N365" s="109"/>
      <c r="O365" s="164"/>
      <c r="P365" s="165"/>
      <c r="Q365" s="165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  <c r="AO365" s="109"/>
      <c r="AP365" s="109"/>
      <c r="AQ365" s="109"/>
      <c r="AR365" s="109"/>
      <c r="AS365" s="109"/>
      <c r="AT365" s="109"/>
      <c r="AU365" s="109"/>
      <c r="AV365" s="109"/>
      <c r="AW365" s="109"/>
      <c r="AX365" s="109"/>
      <c r="AY365" s="109"/>
      <c r="AZ365" s="109"/>
      <c r="BA365" s="109"/>
      <c r="BB365" s="109"/>
      <c r="BC365" s="109"/>
      <c r="BD365" s="109"/>
      <c r="BE365" s="109"/>
      <c r="BF365" s="109"/>
      <c r="BG365" s="109"/>
      <c r="BH365" s="109"/>
      <c r="BI365" s="109"/>
      <c r="BJ365" s="109"/>
      <c r="BK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63"/>
      <c r="J366" s="109"/>
      <c r="K366" s="109"/>
      <c r="L366" s="109"/>
      <c r="M366" s="109"/>
      <c r="N366" s="109"/>
      <c r="O366" s="164"/>
      <c r="P366" s="165"/>
      <c r="Q366" s="165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  <c r="AO366" s="109"/>
      <c r="AP366" s="109"/>
      <c r="AQ366" s="109"/>
      <c r="AR366" s="109"/>
      <c r="AS366" s="109"/>
      <c r="AT366" s="109"/>
      <c r="AU366" s="109"/>
      <c r="AV366" s="109"/>
      <c r="AW366" s="109"/>
      <c r="AX366" s="109"/>
      <c r="AY366" s="109"/>
      <c r="AZ366" s="109"/>
      <c r="BA366" s="109"/>
      <c r="BB366" s="109"/>
      <c r="BC366" s="109"/>
      <c r="BD366" s="109"/>
      <c r="BE366" s="109"/>
      <c r="BF366" s="109"/>
      <c r="BG366" s="109"/>
      <c r="BH366" s="109"/>
      <c r="BI366" s="109"/>
      <c r="BJ366" s="109"/>
      <c r="BK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63"/>
      <c r="J367" s="109"/>
      <c r="K367" s="109"/>
      <c r="L367" s="109"/>
      <c r="M367" s="109"/>
      <c r="N367" s="109"/>
      <c r="O367" s="164"/>
      <c r="P367" s="165"/>
      <c r="Q367" s="165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  <c r="AO367" s="109"/>
      <c r="AP367" s="109"/>
      <c r="AQ367" s="109"/>
      <c r="AR367" s="109"/>
      <c r="AS367" s="109"/>
      <c r="AT367" s="109"/>
      <c r="AU367" s="109"/>
      <c r="AV367" s="109"/>
      <c r="AW367" s="109"/>
      <c r="AX367" s="109"/>
      <c r="AY367" s="109"/>
      <c r="AZ367" s="109"/>
      <c r="BA367" s="109"/>
      <c r="BB367" s="109"/>
      <c r="BC367" s="109"/>
      <c r="BD367" s="109"/>
      <c r="BE367" s="109"/>
      <c r="BF367" s="109"/>
      <c r="BG367" s="109"/>
      <c r="BH367" s="109"/>
      <c r="BI367" s="109"/>
      <c r="BJ367" s="109"/>
      <c r="BK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63"/>
      <c r="J368" s="109"/>
      <c r="K368" s="109"/>
      <c r="L368" s="109"/>
      <c r="M368" s="109"/>
      <c r="N368" s="109"/>
      <c r="O368" s="164"/>
      <c r="P368" s="165"/>
      <c r="Q368" s="165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  <c r="AO368" s="109"/>
      <c r="AP368" s="109"/>
      <c r="AQ368" s="109"/>
      <c r="AR368" s="109"/>
      <c r="AS368" s="109"/>
      <c r="AT368" s="109"/>
      <c r="AU368" s="109"/>
      <c r="AV368" s="109"/>
      <c r="AW368" s="109"/>
      <c r="AX368" s="109"/>
      <c r="AY368" s="109"/>
      <c r="AZ368" s="109"/>
      <c r="BA368" s="109"/>
      <c r="BB368" s="109"/>
      <c r="BC368" s="109"/>
      <c r="BD368" s="109"/>
      <c r="BE368" s="109"/>
      <c r="BF368" s="109"/>
      <c r="BG368" s="109"/>
      <c r="BH368" s="109"/>
      <c r="BI368" s="109"/>
      <c r="BJ368" s="109"/>
      <c r="BK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63"/>
      <c r="J369" s="109"/>
      <c r="K369" s="109"/>
      <c r="L369" s="109"/>
      <c r="M369" s="109"/>
      <c r="N369" s="109"/>
      <c r="O369" s="164"/>
      <c r="P369" s="165"/>
      <c r="Q369" s="165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09"/>
      <c r="AR369" s="109"/>
      <c r="AS369" s="109"/>
      <c r="AT369" s="109"/>
      <c r="AU369" s="109"/>
      <c r="AV369" s="109"/>
      <c r="AW369" s="109"/>
      <c r="AX369" s="109"/>
      <c r="AY369" s="109"/>
      <c r="AZ369" s="109"/>
      <c r="BA369" s="109"/>
      <c r="BB369" s="109"/>
      <c r="BC369" s="109"/>
      <c r="BD369" s="109"/>
      <c r="BE369" s="109"/>
      <c r="BF369" s="109"/>
      <c r="BG369" s="109"/>
      <c r="BH369" s="109"/>
      <c r="BI369" s="109"/>
      <c r="BJ369" s="109"/>
      <c r="BK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63"/>
      <c r="J370" s="109"/>
      <c r="K370" s="109"/>
      <c r="L370" s="109"/>
      <c r="M370" s="109"/>
      <c r="N370" s="109"/>
      <c r="O370" s="164"/>
      <c r="P370" s="165"/>
      <c r="Q370" s="165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  <c r="AO370" s="109"/>
      <c r="AP370" s="109"/>
      <c r="AQ370" s="109"/>
      <c r="AR370" s="109"/>
      <c r="AS370" s="109"/>
      <c r="AT370" s="109"/>
      <c r="AU370" s="109"/>
      <c r="AV370" s="109"/>
      <c r="AW370" s="109"/>
      <c r="AX370" s="109"/>
      <c r="AY370" s="109"/>
      <c r="AZ370" s="109"/>
      <c r="BA370" s="109"/>
      <c r="BB370" s="109"/>
      <c r="BC370" s="109"/>
      <c r="BD370" s="109"/>
      <c r="BE370" s="109"/>
      <c r="BF370" s="109"/>
      <c r="BG370" s="109"/>
      <c r="BH370" s="109"/>
      <c r="BI370" s="109"/>
      <c r="BJ370" s="109"/>
      <c r="BK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63"/>
      <c r="J371" s="109"/>
      <c r="K371" s="109"/>
      <c r="L371" s="109"/>
      <c r="M371" s="109"/>
      <c r="N371" s="109"/>
      <c r="O371" s="164"/>
      <c r="P371" s="165"/>
      <c r="Q371" s="165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109"/>
      <c r="AR371" s="109"/>
      <c r="AS371" s="109"/>
      <c r="AT371" s="109"/>
      <c r="AU371" s="109"/>
      <c r="AV371" s="109"/>
      <c r="AW371" s="109"/>
      <c r="AX371" s="109"/>
      <c r="AY371" s="109"/>
      <c r="AZ371" s="109"/>
      <c r="BA371" s="109"/>
      <c r="BB371" s="109"/>
      <c r="BC371" s="109"/>
      <c r="BD371" s="109"/>
      <c r="BE371" s="109"/>
      <c r="BF371" s="109"/>
      <c r="BG371" s="109"/>
      <c r="BH371" s="109"/>
      <c r="BI371" s="109"/>
      <c r="BJ371" s="109"/>
      <c r="BK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63"/>
      <c r="J372" s="109"/>
      <c r="K372" s="109"/>
      <c r="L372" s="109"/>
      <c r="M372" s="109"/>
      <c r="N372" s="109"/>
      <c r="O372" s="164"/>
      <c r="P372" s="165"/>
      <c r="Q372" s="165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  <c r="AO372" s="109"/>
      <c r="AP372" s="109"/>
      <c r="AQ372" s="109"/>
      <c r="AR372" s="109"/>
      <c r="AS372" s="109"/>
      <c r="AT372" s="109"/>
      <c r="AU372" s="109"/>
      <c r="AV372" s="109"/>
      <c r="AW372" s="109"/>
      <c r="AX372" s="109"/>
      <c r="AY372" s="109"/>
      <c r="AZ372" s="109"/>
      <c r="BA372" s="109"/>
      <c r="BB372" s="109"/>
      <c r="BC372" s="109"/>
      <c r="BD372" s="109"/>
      <c r="BE372" s="109"/>
      <c r="BF372" s="109"/>
      <c r="BG372" s="109"/>
      <c r="BH372" s="109"/>
      <c r="BI372" s="109"/>
      <c r="BJ372" s="109"/>
      <c r="BK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63"/>
      <c r="J373" s="109"/>
      <c r="K373" s="109"/>
      <c r="L373" s="109"/>
      <c r="M373" s="109"/>
      <c r="N373" s="109"/>
      <c r="O373" s="164"/>
      <c r="P373" s="165"/>
      <c r="Q373" s="165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  <c r="AO373" s="109"/>
      <c r="AP373" s="109"/>
      <c r="AQ373" s="109"/>
      <c r="AR373" s="109"/>
      <c r="AS373" s="109"/>
      <c r="AT373" s="109"/>
      <c r="AU373" s="109"/>
      <c r="AV373" s="109"/>
      <c r="AW373" s="109"/>
      <c r="AX373" s="109"/>
      <c r="AY373" s="109"/>
      <c r="AZ373" s="109"/>
      <c r="BA373" s="109"/>
      <c r="BB373" s="109"/>
      <c r="BC373" s="109"/>
      <c r="BD373" s="109"/>
      <c r="BE373" s="109"/>
      <c r="BF373" s="109"/>
      <c r="BG373" s="109"/>
      <c r="BH373" s="109"/>
      <c r="BI373" s="109"/>
      <c r="BJ373" s="109"/>
      <c r="BK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63"/>
      <c r="J374" s="109"/>
      <c r="K374" s="109"/>
      <c r="L374" s="109"/>
      <c r="M374" s="109"/>
      <c r="N374" s="109"/>
      <c r="O374" s="164"/>
      <c r="P374" s="165"/>
      <c r="Q374" s="165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  <c r="AO374" s="109"/>
      <c r="AP374" s="109"/>
      <c r="AQ374" s="109"/>
      <c r="AR374" s="109"/>
      <c r="AS374" s="109"/>
      <c r="AT374" s="109"/>
      <c r="AU374" s="109"/>
      <c r="AV374" s="109"/>
      <c r="AW374" s="109"/>
      <c r="AX374" s="109"/>
      <c r="AY374" s="109"/>
      <c r="AZ374" s="109"/>
      <c r="BA374" s="109"/>
      <c r="BB374" s="109"/>
      <c r="BC374" s="109"/>
      <c r="BD374" s="109"/>
      <c r="BE374" s="109"/>
      <c r="BF374" s="109"/>
      <c r="BG374" s="109"/>
      <c r="BH374" s="109"/>
      <c r="BI374" s="109"/>
      <c r="BJ374" s="109"/>
      <c r="BK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63"/>
      <c r="J375" s="109"/>
      <c r="K375" s="109"/>
      <c r="L375" s="109"/>
      <c r="M375" s="109"/>
      <c r="N375" s="109"/>
      <c r="O375" s="164"/>
      <c r="P375" s="165"/>
      <c r="Q375" s="165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  <c r="AO375" s="109"/>
      <c r="AP375" s="109"/>
      <c r="AQ375" s="109"/>
      <c r="AR375" s="109"/>
      <c r="AS375" s="109"/>
      <c r="AT375" s="109"/>
      <c r="AU375" s="109"/>
      <c r="AV375" s="109"/>
      <c r="AW375" s="109"/>
      <c r="AX375" s="109"/>
      <c r="AY375" s="109"/>
      <c r="AZ375" s="109"/>
      <c r="BA375" s="109"/>
      <c r="BB375" s="109"/>
      <c r="BC375" s="109"/>
      <c r="BD375" s="109"/>
      <c r="BE375" s="109"/>
      <c r="BF375" s="109"/>
      <c r="BG375" s="109"/>
      <c r="BH375" s="109"/>
      <c r="BI375" s="109"/>
      <c r="BJ375" s="109"/>
      <c r="BK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63"/>
      <c r="J376" s="109"/>
      <c r="K376" s="109"/>
      <c r="L376" s="109"/>
      <c r="M376" s="109"/>
      <c r="N376" s="109"/>
      <c r="O376" s="164"/>
      <c r="P376" s="165"/>
      <c r="Q376" s="165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  <c r="AO376" s="109"/>
      <c r="AP376" s="109"/>
      <c r="AQ376" s="109"/>
      <c r="AR376" s="109"/>
      <c r="AS376" s="109"/>
      <c r="AT376" s="109"/>
      <c r="AU376" s="109"/>
      <c r="AV376" s="109"/>
      <c r="AW376" s="109"/>
      <c r="AX376" s="109"/>
      <c r="AY376" s="109"/>
      <c r="AZ376" s="109"/>
      <c r="BA376" s="109"/>
      <c r="BB376" s="109"/>
      <c r="BC376" s="109"/>
      <c r="BD376" s="109"/>
      <c r="BE376" s="109"/>
      <c r="BF376" s="109"/>
      <c r="BG376" s="109"/>
      <c r="BH376" s="109"/>
      <c r="BI376" s="109"/>
      <c r="BJ376" s="109"/>
      <c r="BK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63"/>
      <c r="J377" s="109"/>
      <c r="K377" s="109"/>
      <c r="L377" s="109"/>
      <c r="M377" s="109"/>
      <c r="N377" s="109"/>
      <c r="O377" s="164"/>
      <c r="P377" s="165"/>
      <c r="Q377" s="165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109"/>
      <c r="AR377" s="109"/>
      <c r="AS377" s="109"/>
      <c r="AT377" s="109"/>
      <c r="AU377" s="109"/>
      <c r="AV377" s="109"/>
      <c r="AW377" s="109"/>
      <c r="AX377" s="109"/>
      <c r="AY377" s="109"/>
      <c r="AZ377" s="109"/>
      <c r="BA377" s="109"/>
      <c r="BB377" s="109"/>
      <c r="BC377" s="109"/>
      <c r="BD377" s="109"/>
      <c r="BE377" s="109"/>
      <c r="BF377" s="109"/>
      <c r="BG377" s="109"/>
      <c r="BH377" s="109"/>
      <c r="BI377" s="109"/>
      <c r="BJ377" s="109"/>
      <c r="BK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63"/>
      <c r="J378" s="109"/>
      <c r="K378" s="109"/>
      <c r="L378" s="109"/>
      <c r="M378" s="109"/>
      <c r="N378" s="109"/>
      <c r="O378" s="164"/>
      <c r="P378" s="165"/>
      <c r="Q378" s="165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  <c r="AO378" s="109"/>
      <c r="AP378" s="109"/>
      <c r="AQ378" s="109"/>
      <c r="AR378" s="109"/>
      <c r="AS378" s="109"/>
      <c r="AT378" s="109"/>
      <c r="AU378" s="109"/>
      <c r="AV378" s="109"/>
      <c r="AW378" s="109"/>
      <c r="AX378" s="109"/>
      <c r="AY378" s="109"/>
      <c r="AZ378" s="109"/>
      <c r="BA378" s="109"/>
      <c r="BB378" s="109"/>
      <c r="BC378" s="109"/>
      <c r="BD378" s="109"/>
      <c r="BE378" s="109"/>
      <c r="BF378" s="109"/>
      <c r="BG378" s="109"/>
      <c r="BH378" s="109"/>
      <c r="BI378" s="109"/>
      <c r="BJ378" s="109"/>
      <c r="BK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63"/>
      <c r="J379" s="109"/>
      <c r="K379" s="109"/>
      <c r="L379" s="109"/>
      <c r="M379" s="109"/>
      <c r="N379" s="109"/>
      <c r="O379" s="164"/>
      <c r="P379" s="165"/>
      <c r="Q379" s="165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  <c r="AO379" s="109"/>
      <c r="AP379" s="109"/>
      <c r="AQ379" s="109"/>
      <c r="AR379" s="109"/>
      <c r="AS379" s="109"/>
      <c r="AT379" s="109"/>
      <c r="AU379" s="109"/>
      <c r="AV379" s="109"/>
      <c r="AW379" s="109"/>
      <c r="AX379" s="109"/>
      <c r="AY379" s="109"/>
      <c r="AZ379" s="109"/>
      <c r="BA379" s="109"/>
      <c r="BB379" s="109"/>
      <c r="BC379" s="109"/>
      <c r="BD379" s="109"/>
      <c r="BE379" s="109"/>
      <c r="BF379" s="109"/>
      <c r="BG379" s="109"/>
      <c r="BH379" s="109"/>
      <c r="BI379" s="109"/>
      <c r="BJ379" s="109"/>
      <c r="BK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63"/>
      <c r="J380" s="109"/>
      <c r="K380" s="109"/>
      <c r="L380" s="109"/>
      <c r="M380" s="109"/>
      <c r="N380" s="109"/>
      <c r="O380" s="164"/>
      <c r="P380" s="165"/>
      <c r="Q380" s="165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  <c r="AO380" s="109"/>
      <c r="AP380" s="109"/>
      <c r="AQ380" s="109"/>
      <c r="AR380" s="109"/>
      <c r="AS380" s="109"/>
      <c r="AT380" s="109"/>
      <c r="AU380" s="109"/>
      <c r="AV380" s="109"/>
      <c r="AW380" s="109"/>
      <c r="AX380" s="109"/>
      <c r="AY380" s="109"/>
      <c r="AZ380" s="109"/>
      <c r="BA380" s="109"/>
      <c r="BB380" s="109"/>
      <c r="BC380" s="109"/>
      <c r="BD380" s="109"/>
      <c r="BE380" s="109"/>
      <c r="BF380" s="109"/>
      <c r="BG380" s="109"/>
      <c r="BH380" s="109"/>
      <c r="BI380" s="109"/>
      <c r="BJ380" s="109"/>
      <c r="BK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63"/>
      <c r="J381" s="109"/>
      <c r="K381" s="109"/>
      <c r="L381" s="109"/>
      <c r="M381" s="109"/>
      <c r="N381" s="109"/>
      <c r="O381" s="164"/>
      <c r="P381" s="165"/>
      <c r="Q381" s="165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  <c r="AO381" s="109"/>
      <c r="AP381" s="109"/>
      <c r="AQ381" s="109"/>
      <c r="AR381" s="109"/>
      <c r="AS381" s="109"/>
      <c r="AT381" s="109"/>
      <c r="AU381" s="109"/>
      <c r="AV381" s="109"/>
      <c r="AW381" s="109"/>
      <c r="AX381" s="109"/>
      <c r="AY381" s="109"/>
      <c r="AZ381" s="109"/>
      <c r="BA381" s="109"/>
      <c r="BB381" s="109"/>
      <c r="BC381" s="109"/>
      <c r="BD381" s="109"/>
      <c r="BE381" s="109"/>
      <c r="BF381" s="109"/>
      <c r="BG381" s="109"/>
      <c r="BH381" s="109"/>
      <c r="BI381" s="109"/>
      <c r="BJ381" s="109"/>
      <c r="BK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63"/>
      <c r="J382" s="109"/>
      <c r="K382" s="109"/>
      <c r="L382" s="109"/>
      <c r="M382" s="109"/>
      <c r="N382" s="109"/>
      <c r="O382" s="164"/>
      <c r="P382" s="165"/>
      <c r="Q382" s="165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  <c r="AO382" s="109"/>
      <c r="AP382" s="109"/>
      <c r="AQ382" s="109"/>
      <c r="AR382" s="109"/>
      <c r="AS382" s="109"/>
      <c r="AT382" s="109"/>
      <c r="AU382" s="109"/>
      <c r="AV382" s="109"/>
      <c r="AW382" s="109"/>
      <c r="AX382" s="109"/>
      <c r="AY382" s="109"/>
      <c r="AZ382" s="109"/>
      <c r="BA382" s="109"/>
      <c r="BB382" s="109"/>
      <c r="BC382" s="109"/>
      <c r="BD382" s="109"/>
      <c r="BE382" s="109"/>
      <c r="BF382" s="109"/>
      <c r="BG382" s="109"/>
      <c r="BH382" s="109"/>
      <c r="BI382" s="109"/>
      <c r="BJ382" s="109"/>
      <c r="BK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63"/>
      <c r="J383" s="109"/>
      <c r="K383" s="109"/>
      <c r="L383" s="109"/>
      <c r="M383" s="109"/>
      <c r="N383" s="109"/>
      <c r="O383" s="164"/>
      <c r="P383" s="165"/>
      <c r="Q383" s="165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  <c r="AO383" s="109"/>
      <c r="AP383" s="109"/>
      <c r="AQ383" s="109"/>
      <c r="AR383" s="109"/>
      <c r="AS383" s="109"/>
      <c r="AT383" s="109"/>
      <c r="AU383" s="109"/>
      <c r="AV383" s="109"/>
      <c r="AW383" s="109"/>
      <c r="AX383" s="109"/>
      <c r="AY383" s="109"/>
      <c r="AZ383" s="109"/>
      <c r="BA383" s="109"/>
      <c r="BB383" s="109"/>
      <c r="BC383" s="109"/>
      <c r="BD383" s="109"/>
      <c r="BE383" s="109"/>
      <c r="BF383" s="109"/>
      <c r="BG383" s="109"/>
      <c r="BH383" s="109"/>
      <c r="BI383" s="109"/>
      <c r="BJ383" s="109"/>
      <c r="BK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63"/>
      <c r="J384" s="109"/>
      <c r="K384" s="109"/>
      <c r="L384" s="109"/>
      <c r="M384" s="109"/>
      <c r="N384" s="109"/>
      <c r="O384" s="164"/>
      <c r="P384" s="165"/>
      <c r="Q384" s="165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  <c r="AO384" s="109"/>
      <c r="AP384" s="109"/>
      <c r="AQ384" s="109"/>
      <c r="AR384" s="109"/>
      <c r="AS384" s="109"/>
      <c r="AT384" s="109"/>
      <c r="AU384" s="109"/>
      <c r="AV384" s="109"/>
      <c r="AW384" s="109"/>
      <c r="AX384" s="109"/>
      <c r="AY384" s="109"/>
      <c r="AZ384" s="109"/>
      <c r="BA384" s="109"/>
      <c r="BB384" s="109"/>
      <c r="BC384" s="109"/>
      <c r="BD384" s="109"/>
      <c r="BE384" s="109"/>
      <c r="BF384" s="109"/>
      <c r="BG384" s="109"/>
      <c r="BH384" s="109"/>
      <c r="BI384" s="109"/>
      <c r="BJ384" s="109"/>
      <c r="BK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63"/>
      <c r="J385" s="109"/>
      <c r="K385" s="109"/>
      <c r="L385" s="109"/>
      <c r="M385" s="109"/>
      <c r="N385" s="109"/>
      <c r="O385" s="164"/>
      <c r="P385" s="165"/>
      <c r="Q385" s="165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109"/>
      <c r="AR385" s="109"/>
      <c r="AS385" s="109"/>
      <c r="AT385" s="109"/>
      <c r="AU385" s="109"/>
      <c r="AV385" s="109"/>
      <c r="AW385" s="109"/>
      <c r="AX385" s="109"/>
      <c r="AY385" s="109"/>
      <c r="AZ385" s="109"/>
      <c r="BA385" s="109"/>
      <c r="BB385" s="109"/>
      <c r="BC385" s="109"/>
      <c r="BD385" s="109"/>
      <c r="BE385" s="109"/>
      <c r="BF385" s="109"/>
      <c r="BG385" s="109"/>
      <c r="BH385" s="109"/>
      <c r="BI385" s="109"/>
      <c r="BJ385" s="109"/>
      <c r="BK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63"/>
      <c r="J386" s="109"/>
      <c r="K386" s="109"/>
      <c r="L386" s="109"/>
      <c r="M386" s="109"/>
      <c r="N386" s="109"/>
      <c r="O386" s="164"/>
      <c r="P386" s="165"/>
      <c r="Q386" s="165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  <c r="AO386" s="109"/>
      <c r="AP386" s="109"/>
      <c r="AQ386" s="109"/>
      <c r="AR386" s="109"/>
      <c r="AS386" s="109"/>
      <c r="AT386" s="109"/>
      <c r="AU386" s="109"/>
      <c r="AV386" s="109"/>
      <c r="AW386" s="109"/>
      <c r="AX386" s="109"/>
      <c r="AY386" s="109"/>
      <c r="AZ386" s="109"/>
      <c r="BA386" s="109"/>
      <c r="BB386" s="109"/>
      <c r="BC386" s="109"/>
      <c r="BD386" s="109"/>
      <c r="BE386" s="109"/>
      <c r="BF386" s="109"/>
      <c r="BG386" s="109"/>
      <c r="BH386" s="109"/>
      <c r="BI386" s="109"/>
      <c r="BJ386" s="109"/>
      <c r="BK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63"/>
      <c r="J387" s="109"/>
      <c r="K387" s="109"/>
      <c r="L387" s="109"/>
      <c r="M387" s="109"/>
      <c r="N387" s="109"/>
      <c r="O387" s="164"/>
      <c r="P387" s="165"/>
      <c r="Q387" s="165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  <c r="AO387" s="109"/>
      <c r="AP387" s="109"/>
      <c r="AQ387" s="109"/>
      <c r="AR387" s="109"/>
      <c r="AS387" s="109"/>
      <c r="AT387" s="109"/>
      <c r="AU387" s="109"/>
      <c r="AV387" s="109"/>
      <c r="AW387" s="109"/>
      <c r="AX387" s="109"/>
      <c r="AY387" s="109"/>
      <c r="AZ387" s="109"/>
      <c r="BA387" s="109"/>
      <c r="BB387" s="109"/>
      <c r="BC387" s="109"/>
      <c r="BD387" s="109"/>
      <c r="BE387" s="109"/>
      <c r="BF387" s="109"/>
      <c r="BG387" s="109"/>
      <c r="BH387" s="109"/>
      <c r="BI387" s="109"/>
      <c r="BJ387" s="109"/>
      <c r="BK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63"/>
      <c r="J388" s="109"/>
      <c r="K388" s="109"/>
      <c r="L388" s="109"/>
      <c r="M388" s="109"/>
      <c r="N388" s="109"/>
      <c r="O388" s="164"/>
      <c r="P388" s="165"/>
      <c r="Q388" s="165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109"/>
      <c r="AR388" s="109"/>
      <c r="AS388" s="109"/>
      <c r="AT388" s="109"/>
      <c r="AU388" s="109"/>
      <c r="AV388" s="109"/>
      <c r="AW388" s="109"/>
      <c r="AX388" s="109"/>
      <c r="AY388" s="109"/>
      <c r="AZ388" s="109"/>
      <c r="BA388" s="109"/>
      <c r="BB388" s="109"/>
      <c r="BC388" s="109"/>
      <c r="BD388" s="109"/>
      <c r="BE388" s="109"/>
      <c r="BF388" s="109"/>
      <c r="BG388" s="109"/>
      <c r="BH388" s="109"/>
      <c r="BI388" s="109"/>
      <c r="BJ388" s="109"/>
      <c r="BK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63"/>
      <c r="J389" s="109"/>
      <c r="K389" s="109"/>
      <c r="L389" s="109"/>
      <c r="M389" s="109"/>
      <c r="N389" s="109"/>
      <c r="O389" s="164"/>
      <c r="P389" s="165"/>
      <c r="Q389" s="165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  <c r="AO389" s="109"/>
      <c r="AP389" s="109"/>
      <c r="AQ389" s="109"/>
      <c r="AR389" s="109"/>
      <c r="AS389" s="109"/>
      <c r="AT389" s="109"/>
      <c r="AU389" s="109"/>
      <c r="AV389" s="109"/>
      <c r="AW389" s="109"/>
      <c r="AX389" s="109"/>
      <c r="AY389" s="109"/>
      <c r="AZ389" s="109"/>
      <c r="BA389" s="109"/>
      <c r="BB389" s="109"/>
      <c r="BC389" s="109"/>
      <c r="BD389" s="109"/>
      <c r="BE389" s="109"/>
      <c r="BF389" s="109"/>
      <c r="BG389" s="109"/>
      <c r="BH389" s="109"/>
      <c r="BI389" s="109"/>
      <c r="BJ389" s="109"/>
      <c r="BK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63"/>
      <c r="J390" s="109"/>
      <c r="K390" s="109"/>
      <c r="L390" s="109"/>
      <c r="M390" s="109"/>
      <c r="N390" s="109"/>
      <c r="O390" s="164"/>
      <c r="P390" s="165"/>
      <c r="Q390" s="165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  <c r="AO390" s="109"/>
      <c r="AP390" s="109"/>
      <c r="AQ390" s="109"/>
      <c r="AR390" s="109"/>
      <c r="AS390" s="109"/>
      <c r="AT390" s="109"/>
      <c r="AU390" s="109"/>
      <c r="AV390" s="109"/>
      <c r="AW390" s="109"/>
      <c r="AX390" s="109"/>
      <c r="AY390" s="109"/>
      <c r="AZ390" s="109"/>
      <c r="BA390" s="109"/>
      <c r="BB390" s="109"/>
      <c r="BC390" s="109"/>
      <c r="BD390" s="109"/>
      <c r="BE390" s="109"/>
      <c r="BF390" s="109"/>
      <c r="BG390" s="109"/>
      <c r="BH390" s="109"/>
      <c r="BI390" s="109"/>
      <c r="BJ390" s="109"/>
      <c r="BK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63"/>
      <c r="J391" s="109"/>
      <c r="K391" s="109"/>
      <c r="L391" s="109"/>
      <c r="M391" s="109"/>
      <c r="N391" s="109"/>
      <c r="O391" s="164"/>
      <c r="P391" s="165"/>
      <c r="Q391" s="165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  <c r="AO391" s="109"/>
      <c r="AP391" s="109"/>
      <c r="AQ391" s="109"/>
      <c r="AR391" s="109"/>
      <c r="AS391" s="109"/>
      <c r="AT391" s="109"/>
      <c r="AU391" s="109"/>
      <c r="AV391" s="109"/>
      <c r="AW391" s="109"/>
      <c r="AX391" s="109"/>
      <c r="AY391" s="109"/>
      <c r="AZ391" s="109"/>
      <c r="BA391" s="109"/>
      <c r="BB391" s="109"/>
      <c r="BC391" s="109"/>
      <c r="BD391" s="109"/>
      <c r="BE391" s="109"/>
      <c r="BF391" s="109"/>
      <c r="BG391" s="109"/>
      <c r="BH391" s="109"/>
      <c r="BI391" s="109"/>
      <c r="BJ391" s="109"/>
      <c r="BK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63"/>
      <c r="J392" s="109"/>
      <c r="K392" s="109"/>
      <c r="L392" s="109"/>
      <c r="M392" s="109"/>
      <c r="N392" s="109"/>
      <c r="O392" s="164"/>
      <c r="P392" s="165"/>
      <c r="Q392" s="165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  <c r="AO392" s="109"/>
      <c r="AP392" s="109"/>
      <c r="AQ392" s="109"/>
      <c r="AR392" s="109"/>
      <c r="AS392" s="109"/>
      <c r="AT392" s="109"/>
      <c r="AU392" s="109"/>
      <c r="AV392" s="109"/>
      <c r="AW392" s="109"/>
      <c r="AX392" s="109"/>
      <c r="AY392" s="109"/>
      <c r="AZ392" s="109"/>
      <c r="BA392" s="109"/>
      <c r="BB392" s="109"/>
      <c r="BC392" s="109"/>
      <c r="BD392" s="109"/>
      <c r="BE392" s="109"/>
      <c r="BF392" s="109"/>
      <c r="BG392" s="109"/>
      <c r="BH392" s="109"/>
      <c r="BI392" s="109"/>
      <c r="BJ392" s="109"/>
      <c r="BK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63"/>
      <c r="J393" s="109"/>
      <c r="K393" s="109"/>
      <c r="L393" s="109"/>
      <c r="M393" s="109"/>
      <c r="N393" s="109"/>
      <c r="O393" s="164"/>
      <c r="P393" s="165"/>
      <c r="Q393" s="165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  <c r="AO393" s="109"/>
      <c r="AP393" s="109"/>
      <c r="AQ393" s="109"/>
      <c r="AR393" s="109"/>
      <c r="AS393" s="109"/>
      <c r="AT393" s="109"/>
      <c r="AU393" s="109"/>
      <c r="AV393" s="109"/>
      <c r="AW393" s="109"/>
      <c r="AX393" s="109"/>
      <c r="AY393" s="109"/>
      <c r="AZ393" s="109"/>
      <c r="BA393" s="109"/>
      <c r="BB393" s="109"/>
      <c r="BC393" s="109"/>
      <c r="BD393" s="109"/>
      <c r="BE393" s="109"/>
      <c r="BF393" s="109"/>
      <c r="BG393" s="109"/>
      <c r="BH393" s="109"/>
      <c r="BI393" s="109"/>
      <c r="BJ393" s="109"/>
      <c r="BK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63"/>
      <c r="J394" s="109"/>
      <c r="K394" s="109"/>
      <c r="L394" s="109"/>
      <c r="M394" s="109"/>
      <c r="N394" s="109"/>
      <c r="O394" s="164"/>
      <c r="P394" s="165"/>
      <c r="Q394" s="165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  <c r="AO394" s="109"/>
      <c r="AP394" s="109"/>
      <c r="AQ394" s="109"/>
      <c r="AR394" s="109"/>
      <c r="AS394" s="109"/>
      <c r="AT394" s="109"/>
      <c r="AU394" s="109"/>
      <c r="AV394" s="109"/>
      <c r="AW394" s="109"/>
      <c r="AX394" s="109"/>
      <c r="AY394" s="109"/>
      <c r="AZ394" s="109"/>
      <c r="BA394" s="109"/>
      <c r="BB394" s="109"/>
      <c r="BC394" s="109"/>
      <c r="BD394" s="109"/>
      <c r="BE394" s="109"/>
      <c r="BF394" s="109"/>
      <c r="BG394" s="109"/>
      <c r="BH394" s="109"/>
      <c r="BI394" s="109"/>
      <c r="BJ394" s="109"/>
      <c r="BK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63"/>
      <c r="J395" s="109"/>
      <c r="K395" s="109"/>
      <c r="L395" s="109"/>
      <c r="M395" s="109"/>
      <c r="N395" s="109"/>
      <c r="O395" s="164"/>
      <c r="P395" s="165"/>
      <c r="Q395" s="165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Q395" s="109"/>
      <c r="AR395" s="109"/>
      <c r="AS395" s="109"/>
      <c r="AT395" s="109"/>
      <c r="AU395" s="109"/>
      <c r="AV395" s="109"/>
      <c r="AW395" s="109"/>
      <c r="AX395" s="109"/>
      <c r="AY395" s="109"/>
      <c r="AZ395" s="109"/>
      <c r="BA395" s="109"/>
      <c r="BB395" s="109"/>
      <c r="BC395" s="109"/>
      <c r="BD395" s="109"/>
      <c r="BE395" s="109"/>
      <c r="BF395" s="109"/>
      <c r="BG395" s="109"/>
      <c r="BH395" s="109"/>
      <c r="BI395" s="109"/>
      <c r="BJ395" s="109"/>
      <c r="BK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63"/>
      <c r="J396" s="109"/>
      <c r="K396" s="109"/>
      <c r="L396" s="109"/>
      <c r="M396" s="109"/>
      <c r="N396" s="109"/>
      <c r="O396" s="164"/>
      <c r="P396" s="165"/>
      <c r="Q396" s="165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  <c r="AO396" s="109"/>
      <c r="AP396" s="109"/>
      <c r="AQ396" s="109"/>
      <c r="AR396" s="109"/>
      <c r="AS396" s="109"/>
      <c r="AT396" s="109"/>
      <c r="AU396" s="109"/>
      <c r="AV396" s="109"/>
      <c r="AW396" s="109"/>
      <c r="AX396" s="109"/>
      <c r="AY396" s="109"/>
      <c r="AZ396" s="109"/>
      <c r="BA396" s="109"/>
      <c r="BB396" s="109"/>
      <c r="BC396" s="109"/>
      <c r="BD396" s="109"/>
      <c r="BE396" s="109"/>
      <c r="BF396" s="109"/>
      <c r="BG396" s="109"/>
      <c r="BH396" s="109"/>
      <c r="BI396" s="109"/>
      <c r="BJ396" s="109"/>
      <c r="BK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63"/>
      <c r="J397" s="109"/>
      <c r="K397" s="109"/>
      <c r="L397" s="109"/>
      <c r="M397" s="109"/>
      <c r="N397" s="109"/>
      <c r="O397" s="164"/>
      <c r="P397" s="165"/>
      <c r="Q397" s="165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  <c r="AO397" s="109"/>
      <c r="AP397" s="109"/>
      <c r="AQ397" s="109"/>
      <c r="AR397" s="109"/>
      <c r="AS397" s="109"/>
      <c r="AT397" s="109"/>
      <c r="AU397" s="109"/>
      <c r="AV397" s="109"/>
      <c r="AW397" s="109"/>
      <c r="AX397" s="109"/>
      <c r="AY397" s="109"/>
      <c r="AZ397" s="109"/>
      <c r="BA397" s="109"/>
      <c r="BB397" s="109"/>
      <c r="BC397" s="109"/>
      <c r="BD397" s="109"/>
      <c r="BE397" s="109"/>
      <c r="BF397" s="109"/>
      <c r="BG397" s="109"/>
      <c r="BH397" s="109"/>
      <c r="BI397" s="109"/>
      <c r="BJ397" s="109"/>
      <c r="BK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63"/>
      <c r="J398" s="109"/>
      <c r="K398" s="109"/>
      <c r="L398" s="109"/>
      <c r="M398" s="109"/>
      <c r="N398" s="109"/>
      <c r="O398" s="164"/>
      <c r="P398" s="165"/>
      <c r="Q398" s="165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  <c r="AO398" s="109"/>
      <c r="AP398" s="109"/>
      <c r="AQ398" s="109"/>
      <c r="AR398" s="109"/>
      <c r="AS398" s="109"/>
      <c r="AT398" s="109"/>
      <c r="AU398" s="109"/>
      <c r="AV398" s="109"/>
      <c r="AW398" s="109"/>
      <c r="AX398" s="109"/>
      <c r="AY398" s="109"/>
      <c r="AZ398" s="109"/>
      <c r="BA398" s="109"/>
      <c r="BB398" s="109"/>
      <c r="BC398" s="109"/>
      <c r="BD398" s="109"/>
      <c r="BE398" s="109"/>
      <c r="BF398" s="109"/>
      <c r="BG398" s="109"/>
      <c r="BH398" s="109"/>
      <c r="BI398" s="109"/>
      <c r="BJ398" s="109"/>
      <c r="BK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63"/>
      <c r="J399" s="109"/>
      <c r="K399" s="109"/>
      <c r="L399" s="109"/>
      <c r="M399" s="109"/>
      <c r="N399" s="109"/>
      <c r="O399" s="164"/>
      <c r="P399" s="165"/>
      <c r="Q399" s="165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  <c r="AO399" s="109"/>
      <c r="AP399" s="109"/>
      <c r="AQ399" s="109"/>
      <c r="AR399" s="109"/>
      <c r="AS399" s="109"/>
      <c r="AT399" s="109"/>
      <c r="AU399" s="109"/>
      <c r="AV399" s="109"/>
      <c r="AW399" s="109"/>
      <c r="AX399" s="109"/>
      <c r="AY399" s="109"/>
      <c r="AZ399" s="109"/>
      <c r="BA399" s="109"/>
      <c r="BB399" s="109"/>
      <c r="BC399" s="109"/>
      <c r="BD399" s="109"/>
      <c r="BE399" s="109"/>
      <c r="BF399" s="109"/>
      <c r="BG399" s="109"/>
      <c r="BH399" s="109"/>
      <c r="BI399" s="109"/>
      <c r="BJ399" s="109"/>
      <c r="BK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63"/>
      <c r="J400" s="109"/>
      <c r="K400" s="109"/>
      <c r="L400" s="109"/>
      <c r="M400" s="109"/>
      <c r="N400" s="109"/>
      <c r="O400" s="164"/>
      <c r="P400" s="165"/>
      <c r="Q400" s="165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  <c r="AO400" s="109"/>
      <c r="AP400" s="109"/>
      <c r="AQ400" s="109"/>
      <c r="AR400" s="109"/>
      <c r="AS400" s="109"/>
      <c r="AT400" s="109"/>
      <c r="AU400" s="109"/>
      <c r="AV400" s="109"/>
      <c r="AW400" s="109"/>
      <c r="AX400" s="109"/>
      <c r="AY400" s="109"/>
      <c r="AZ400" s="109"/>
      <c r="BA400" s="109"/>
      <c r="BB400" s="109"/>
      <c r="BC400" s="109"/>
      <c r="BD400" s="109"/>
      <c r="BE400" s="109"/>
      <c r="BF400" s="109"/>
      <c r="BG400" s="109"/>
      <c r="BH400" s="109"/>
      <c r="BI400" s="109"/>
      <c r="BJ400" s="109"/>
      <c r="BK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63"/>
      <c r="J401" s="109"/>
      <c r="K401" s="109"/>
      <c r="L401" s="109"/>
      <c r="M401" s="109"/>
      <c r="N401" s="109"/>
      <c r="O401" s="164"/>
      <c r="P401" s="165"/>
      <c r="Q401" s="165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  <c r="AO401" s="109"/>
      <c r="AP401" s="109"/>
      <c r="AQ401" s="109"/>
      <c r="AR401" s="109"/>
      <c r="AS401" s="109"/>
      <c r="AT401" s="109"/>
      <c r="AU401" s="109"/>
      <c r="AV401" s="109"/>
      <c r="AW401" s="109"/>
      <c r="AX401" s="109"/>
      <c r="AY401" s="109"/>
      <c r="AZ401" s="109"/>
      <c r="BA401" s="109"/>
      <c r="BB401" s="109"/>
      <c r="BC401" s="109"/>
      <c r="BD401" s="109"/>
      <c r="BE401" s="109"/>
      <c r="BF401" s="109"/>
      <c r="BG401" s="109"/>
      <c r="BH401" s="109"/>
      <c r="BI401" s="109"/>
      <c r="BJ401" s="109"/>
      <c r="BK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63"/>
      <c r="J402" s="109"/>
      <c r="K402" s="109"/>
      <c r="L402" s="109"/>
      <c r="M402" s="109"/>
      <c r="N402" s="109"/>
      <c r="O402" s="164"/>
      <c r="P402" s="165"/>
      <c r="Q402" s="165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  <c r="AO402" s="109"/>
      <c r="AP402" s="109"/>
      <c r="AQ402" s="109"/>
      <c r="AR402" s="109"/>
      <c r="AS402" s="109"/>
      <c r="AT402" s="109"/>
      <c r="AU402" s="109"/>
      <c r="AV402" s="109"/>
      <c r="AW402" s="109"/>
      <c r="AX402" s="109"/>
      <c r="AY402" s="109"/>
      <c r="AZ402" s="109"/>
      <c r="BA402" s="109"/>
      <c r="BB402" s="109"/>
      <c r="BC402" s="109"/>
      <c r="BD402" s="109"/>
      <c r="BE402" s="109"/>
      <c r="BF402" s="109"/>
      <c r="BG402" s="109"/>
      <c r="BH402" s="109"/>
      <c r="BI402" s="109"/>
      <c r="BJ402" s="109"/>
      <c r="BK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63"/>
      <c r="J403" s="109"/>
      <c r="K403" s="109"/>
      <c r="L403" s="109"/>
      <c r="M403" s="109"/>
      <c r="N403" s="109"/>
      <c r="O403" s="164"/>
      <c r="P403" s="165"/>
      <c r="Q403" s="165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  <c r="AO403" s="109"/>
      <c r="AP403" s="109"/>
      <c r="AQ403" s="109"/>
      <c r="AR403" s="109"/>
      <c r="AS403" s="109"/>
      <c r="AT403" s="109"/>
      <c r="AU403" s="109"/>
      <c r="AV403" s="109"/>
      <c r="AW403" s="109"/>
      <c r="AX403" s="109"/>
      <c r="AY403" s="109"/>
      <c r="AZ403" s="109"/>
      <c r="BA403" s="109"/>
      <c r="BB403" s="109"/>
      <c r="BC403" s="109"/>
      <c r="BD403" s="109"/>
      <c r="BE403" s="109"/>
      <c r="BF403" s="109"/>
      <c r="BG403" s="109"/>
      <c r="BH403" s="109"/>
      <c r="BI403" s="109"/>
      <c r="BJ403" s="109"/>
      <c r="BK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63"/>
      <c r="J404" s="109"/>
      <c r="K404" s="109"/>
      <c r="L404" s="109"/>
      <c r="M404" s="109"/>
      <c r="N404" s="109"/>
      <c r="O404" s="164"/>
      <c r="P404" s="165"/>
      <c r="Q404" s="165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  <c r="AO404" s="109"/>
      <c r="AP404" s="109"/>
      <c r="AQ404" s="109"/>
      <c r="AR404" s="109"/>
      <c r="AS404" s="109"/>
      <c r="AT404" s="109"/>
      <c r="AU404" s="109"/>
      <c r="AV404" s="109"/>
      <c r="AW404" s="109"/>
      <c r="AX404" s="109"/>
      <c r="AY404" s="109"/>
      <c r="AZ404" s="109"/>
      <c r="BA404" s="109"/>
      <c r="BB404" s="109"/>
      <c r="BC404" s="109"/>
      <c r="BD404" s="109"/>
      <c r="BE404" s="109"/>
      <c r="BF404" s="109"/>
      <c r="BG404" s="109"/>
      <c r="BH404" s="109"/>
      <c r="BI404" s="109"/>
      <c r="BJ404" s="109"/>
      <c r="BK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63"/>
      <c r="J405" s="109"/>
      <c r="K405" s="109"/>
      <c r="L405" s="109"/>
      <c r="M405" s="109"/>
      <c r="N405" s="109"/>
      <c r="O405" s="164"/>
      <c r="P405" s="165"/>
      <c r="Q405" s="165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Q405" s="109"/>
      <c r="AR405" s="109"/>
      <c r="AS405" s="109"/>
      <c r="AT405" s="109"/>
      <c r="AU405" s="109"/>
      <c r="AV405" s="109"/>
      <c r="AW405" s="109"/>
      <c r="AX405" s="109"/>
      <c r="AY405" s="109"/>
      <c r="AZ405" s="109"/>
      <c r="BA405" s="109"/>
      <c r="BB405" s="109"/>
      <c r="BC405" s="109"/>
      <c r="BD405" s="109"/>
      <c r="BE405" s="109"/>
      <c r="BF405" s="109"/>
      <c r="BG405" s="109"/>
      <c r="BH405" s="109"/>
      <c r="BI405" s="109"/>
      <c r="BJ405" s="109"/>
      <c r="BK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63"/>
      <c r="J406" s="109"/>
      <c r="K406" s="109"/>
      <c r="L406" s="109"/>
      <c r="M406" s="109"/>
      <c r="N406" s="109"/>
      <c r="O406" s="164"/>
      <c r="P406" s="165"/>
      <c r="Q406" s="165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  <c r="AO406" s="109"/>
      <c r="AP406" s="109"/>
      <c r="AQ406" s="109"/>
      <c r="AR406" s="109"/>
      <c r="AS406" s="109"/>
      <c r="AT406" s="109"/>
      <c r="AU406" s="109"/>
      <c r="AV406" s="109"/>
      <c r="AW406" s="109"/>
      <c r="AX406" s="109"/>
      <c r="AY406" s="109"/>
      <c r="AZ406" s="109"/>
      <c r="BA406" s="109"/>
      <c r="BB406" s="109"/>
      <c r="BC406" s="109"/>
      <c r="BD406" s="109"/>
      <c r="BE406" s="109"/>
      <c r="BF406" s="109"/>
      <c r="BG406" s="109"/>
      <c r="BH406" s="109"/>
      <c r="BI406" s="109"/>
      <c r="BJ406" s="109"/>
      <c r="BK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63"/>
      <c r="J407" s="109"/>
      <c r="K407" s="109"/>
      <c r="L407" s="109"/>
      <c r="M407" s="109"/>
      <c r="N407" s="109"/>
      <c r="O407" s="164"/>
      <c r="P407" s="165"/>
      <c r="Q407" s="165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Q407" s="109"/>
      <c r="AR407" s="109"/>
      <c r="AS407" s="109"/>
      <c r="AT407" s="109"/>
      <c r="AU407" s="109"/>
      <c r="AV407" s="109"/>
      <c r="AW407" s="109"/>
      <c r="AX407" s="109"/>
      <c r="AY407" s="109"/>
      <c r="AZ407" s="109"/>
      <c r="BA407" s="109"/>
      <c r="BB407" s="109"/>
      <c r="BC407" s="109"/>
      <c r="BD407" s="109"/>
      <c r="BE407" s="109"/>
      <c r="BF407" s="109"/>
      <c r="BG407" s="109"/>
      <c r="BH407" s="109"/>
      <c r="BI407" s="109"/>
      <c r="BJ407" s="109"/>
      <c r="BK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63"/>
      <c r="J408" s="109"/>
      <c r="K408" s="109"/>
      <c r="L408" s="109"/>
      <c r="M408" s="109"/>
      <c r="N408" s="109"/>
      <c r="O408" s="164"/>
      <c r="P408" s="165"/>
      <c r="Q408" s="165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  <c r="AO408" s="109"/>
      <c r="AP408" s="109"/>
      <c r="AQ408" s="109"/>
      <c r="AR408" s="109"/>
      <c r="AS408" s="109"/>
      <c r="AT408" s="109"/>
      <c r="AU408" s="109"/>
      <c r="AV408" s="109"/>
      <c r="AW408" s="109"/>
      <c r="AX408" s="109"/>
      <c r="AY408" s="109"/>
      <c r="AZ408" s="109"/>
      <c r="BA408" s="109"/>
      <c r="BB408" s="109"/>
      <c r="BC408" s="109"/>
      <c r="BD408" s="109"/>
      <c r="BE408" s="109"/>
      <c r="BF408" s="109"/>
      <c r="BG408" s="109"/>
      <c r="BH408" s="109"/>
      <c r="BI408" s="109"/>
      <c r="BJ408" s="109"/>
      <c r="BK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63"/>
      <c r="J409" s="109"/>
      <c r="K409" s="109"/>
      <c r="L409" s="109"/>
      <c r="M409" s="109"/>
      <c r="N409" s="109"/>
      <c r="O409" s="164"/>
      <c r="P409" s="165"/>
      <c r="Q409" s="165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Q409" s="109"/>
      <c r="AR409" s="109"/>
      <c r="AS409" s="109"/>
      <c r="AT409" s="109"/>
      <c r="AU409" s="109"/>
      <c r="AV409" s="109"/>
      <c r="AW409" s="109"/>
      <c r="AX409" s="109"/>
      <c r="AY409" s="109"/>
      <c r="AZ409" s="109"/>
      <c r="BA409" s="109"/>
      <c r="BB409" s="109"/>
      <c r="BC409" s="109"/>
      <c r="BD409" s="109"/>
      <c r="BE409" s="109"/>
      <c r="BF409" s="109"/>
      <c r="BG409" s="109"/>
      <c r="BH409" s="109"/>
      <c r="BI409" s="109"/>
      <c r="BJ409" s="109"/>
      <c r="BK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63"/>
      <c r="J410" s="109"/>
      <c r="K410" s="109"/>
      <c r="L410" s="109"/>
      <c r="M410" s="109"/>
      <c r="N410" s="109"/>
      <c r="O410" s="164"/>
      <c r="P410" s="165"/>
      <c r="Q410" s="165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  <c r="AO410" s="109"/>
      <c r="AP410" s="109"/>
      <c r="AQ410" s="109"/>
      <c r="AR410" s="109"/>
      <c r="AS410" s="109"/>
      <c r="AT410" s="109"/>
      <c r="AU410" s="109"/>
      <c r="AV410" s="109"/>
      <c r="AW410" s="109"/>
      <c r="AX410" s="109"/>
      <c r="AY410" s="109"/>
      <c r="AZ410" s="109"/>
      <c r="BA410" s="109"/>
      <c r="BB410" s="109"/>
      <c r="BC410" s="109"/>
      <c r="BD410" s="109"/>
      <c r="BE410" s="109"/>
      <c r="BF410" s="109"/>
      <c r="BG410" s="109"/>
      <c r="BH410" s="109"/>
      <c r="BI410" s="109"/>
      <c r="BJ410" s="109"/>
      <c r="BK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63"/>
      <c r="J411" s="109"/>
      <c r="K411" s="109"/>
      <c r="L411" s="109"/>
      <c r="M411" s="109"/>
      <c r="N411" s="109"/>
      <c r="O411" s="164"/>
      <c r="P411" s="165"/>
      <c r="Q411" s="165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  <c r="AO411" s="109"/>
      <c r="AP411" s="109"/>
      <c r="AQ411" s="109"/>
      <c r="AR411" s="109"/>
      <c r="AS411" s="109"/>
      <c r="AT411" s="109"/>
      <c r="AU411" s="109"/>
      <c r="AV411" s="109"/>
      <c r="AW411" s="109"/>
      <c r="AX411" s="109"/>
      <c r="AY411" s="109"/>
      <c r="AZ411" s="109"/>
      <c r="BA411" s="109"/>
      <c r="BB411" s="109"/>
      <c r="BC411" s="109"/>
      <c r="BD411" s="109"/>
      <c r="BE411" s="109"/>
      <c r="BF411" s="109"/>
      <c r="BG411" s="109"/>
      <c r="BH411" s="109"/>
      <c r="BI411" s="109"/>
      <c r="BJ411" s="109"/>
      <c r="BK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63"/>
      <c r="J412" s="109"/>
      <c r="K412" s="109"/>
      <c r="L412" s="109"/>
      <c r="M412" s="109"/>
      <c r="N412" s="109"/>
      <c r="O412" s="164"/>
      <c r="P412" s="165"/>
      <c r="Q412" s="165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  <c r="AO412" s="109"/>
      <c r="AP412" s="109"/>
      <c r="AQ412" s="109"/>
      <c r="AR412" s="109"/>
      <c r="AS412" s="109"/>
      <c r="AT412" s="109"/>
      <c r="AU412" s="109"/>
      <c r="AV412" s="109"/>
      <c r="AW412" s="109"/>
      <c r="AX412" s="109"/>
      <c r="AY412" s="109"/>
      <c r="AZ412" s="109"/>
      <c r="BA412" s="109"/>
      <c r="BB412" s="109"/>
      <c r="BC412" s="109"/>
      <c r="BD412" s="109"/>
      <c r="BE412" s="109"/>
      <c r="BF412" s="109"/>
      <c r="BG412" s="109"/>
      <c r="BH412" s="109"/>
      <c r="BI412" s="109"/>
      <c r="BJ412" s="109"/>
      <c r="BK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63"/>
      <c r="J413" s="109"/>
      <c r="K413" s="109"/>
      <c r="L413" s="109"/>
      <c r="M413" s="109"/>
      <c r="N413" s="109"/>
      <c r="O413" s="164"/>
      <c r="P413" s="165"/>
      <c r="Q413" s="165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Q413" s="109"/>
      <c r="AR413" s="109"/>
      <c r="AS413" s="109"/>
      <c r="AT413" s="109"/>
      <c r="AU413" s="109"/>
      <c r="AV413" s="109"/>
      <c r="AW413" s="109"/>
      <c r="AX413" s="109"/>
      <c r="AY413" s="109"/>
      <c r="AZ413" s="109"/>
      <c r="BA413" s="109"/>
      <c r="BB413" s="109"/>
      <c r="BC413" s="109"/>
      <c r="BD413" s="109"/>
      <c r="BE413" s="109"/>
      <c r="BF413" s="109"/>
      <c r="BG413" s="109"/>
      <c r="BH413" s="109"/>
      <c r="BI413" s="109"/>
      <c r="BJ413" s="109"/>
      <c r="BK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63"/>
      <c r="J414" s="109"/>
      <c r="K414" s="109"/>
      <c r="L414" s="109"/>
      <c r="M414" s="109"/>
      <c r="N414" s="109"/>
      <c r="O414" s="164"/>
      <c r="P414" s="165"/>
      <c r="Q414" s="165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  <c r="AO414" s="109"/>
      <c r="AP414" s="109"/>
      <c r="AQ414" s="109"/>
      <c r="AR414" s="109"/>
      <c r="AS414" s="109"/>
      <c r="AT414" s="109"/>
      <c r="AU414" s="109"/>
      <c r="AV414" s="109"/>
      <c r="AW414" s="109"/>
      <c r="AX414" s="109"/>
      <c r="AY414" s="109"/>
      <c r="AZ414" s="109"/>
      <c r="BA414" s="109"/>
      <c r="BB414" s="109"/>
      <c r="BC414" s="109"/>
      <c r="BD414" s="109"/>
      <c r="BE414" s="109"/>
      <c r="BF414" s="109"/>
      <c r="BG414" s="109"/>
      <c r="BH414" s="109"/>
      <c r="BI414" s="109"/>
      <c r="BJ414" s="109"/>
      <c r="BK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63"/>
      <c r="J415" s="109"/>
      <c r="K415" s="109"/>
      <c r="L415" s="109"/>
      <c r="M415" s="109"/>
      <c r="N415" s="109"/>
      <c r="O415" s="164"/>
      <c r="P415" s="165"/>
      <c r="Q415" s="165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  <c r="AO415" s="109"/>
      <c r="AP415" s="109"/>
      <c r="AQ415" s="109"/>
      <c r="AR415" s="109"/>
      <c r="AS415" s="109"/>
      <c r="AT415" s="109"/>
      <c r="AU415" s="109"/>
      <c r="AV415" s="109"/>
      <c r="AW415" s="109"/>
      <c r="AX415" s="109"/>
      <c r="AY415" s="109"/>
      <c r="AZ415" s="109"/>
      <c r="BA415" s="109"/>
      <c r="BB415" s="109"/>
      <c r="BC415" s="109"/>
      <c r="BD415" s="109"/>
      <c r="BE415" s="109"/>
      <c r="BF415" s="109"/>
      <c r="BG415" s="109"/>
      <c r="BH415" s="109"/>
      <c r="BI415" s="109"/>
      <c r="BJ415" s="109"/>
      <c r="BK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63"/>
      <c r="J416" s="109"/>
      <c r="K416" s="109"/>
      <c r="L416" s="109"/>
      <c r="M416" s="109"/>
      <c r="N416" s="109"/>
      <c r="O416" s="164"/>
      <c r="P416" s="165"/>
      <c r="Q416" s="165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  <c r="AO416" s="109"/>
      <c r="AP416" s="109"/>
      <c r="AQ416" s="109"/>
      <c r="AR416" s="109"/>
      <c r="AS416" s="109"/>
      <c r="AT416" s="109"/>
      <c r="AU416" s="109"/>
      <c r="AV416" s="109"/>
      <c r="AW416" s="109"/>
      <c r="AX416" s="109"/>
      <c r="AY416" s="109"/>
      <c r="AZ416" s="109"/>
      <c r="BA416" s="109"/>
      <c r="BB416" s="109"/>
      <c r="BC416" s="109"/>
      <c r="BD416" s="109"/>
      <c r="BE416" s="109"/>
      <c r="BF416" s="109"/>
      <c r="BG416" s="109"/>
      <c r="BH416" s="109"/>
      <c r="BI416" s="109"/>
      <c r="BJ416" s="109"/>
      <c r="BK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63"/>
      <c r="J417" s="109"/>
      <c r="K417" s="109"/>
      <c r="L417" s="109"/>
      <c r="M417" s="109"/>
      <c r="N417" s="109"/>
      <c r="O417" s="164"/>
      <c r="P417" s="165"/>
      <c r="Q417" s="165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  <c r="AO417" s="109"/>
      <c r="AP417" s="109"/>
      <c r="AQ417" s="109"/>
      <c r="AR417" s="109"/>
      <c r="AS417" s="109"/>
      <c r="AT417" s="109"/>
      <c r="AU417" s="109"/>
      <c r="AV417" s="109"/>
      <c r="AW417" s="109"/>
      <c r="AX417" s="109"/>
      <c r="AY417" s="109"/>
      <c r="AZ417" s="109"/>
      <c r="BA417" s="109"/>
      <c r="BB417" s="109"/>
      <c r="BC417" s="109"/>
      <c r="BD417" s="109"/>
      <c r="BE417" s="109"/>
      <c r="BF417" s="109"/>
      <c r="BG417" s="109"/>
      <c r="BH417" s="109"/>
      <c r="BI417" s="109"/>
      <c r="BJ417" s="109"/>
      <c r="BK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63"/>
      <c r="J418" s="109"/>
      <c r="K418" s="109"/>
      <c r="L418" s="109"/>
      <c r="M418" s="109"/>
      <c r="N418" s="109"/>
      <c r="O418" s="164"/>
      <c r="P418" s="165"/>
      <c r="Q418" s="165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  <c r="AO418" s="109"/>
      <c r="AP418" s="109"/>
      <c r="AQ418" s="109"/>
      <c r="AR418" s="109"/>
      <c r="AS418" s="109"/>
      <c r="AT418" s="109"/>
      <c r="AU418" s="109"/>
      <c r="AV418" s="109"/>
      <c r="AW418" s="109"/>
      <c r="AX418" s="109"/>
      <c r="AY418" s="109"/>
      <c r="AZ418" s="109"/>
      <c r="BA418" s="109"/>
      <c r="BB418" s="109"/>
      <c r="BC418" s="109"/>
      <c r="BD418" s="109"/>
      <c r="BE418" s="109"/>
      <c r="BF418" s="109"/>
      <c r="BG418" s="109"/>
      <c r="BH418" s="109"/>
      <c r="BI418" s="109"/>
      <c r="BJ418" s="109"/>
      <c r="BK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63"/>
      <c r="J419" s="109"/>
      <c r="K419" s="109"/>
      <c r="L419" s="109"/>
      <c r="M419" s="109"/>
      <c r="N419" s="109"/>
      <c r="O419" s="164"/>
      <c r="P419" s="165"/>
      <c r="Q419" s="165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  <c r="AO419" s="109"/>
      <c r="AP419" s="109"/>
      <c r="AQ419" s="109"/>
      <c r="AR419" s="109"/>
      <c r="AS419" s="109"/>
      <c r="AT419" s="109"/>
      <c r="AU419" s="109"/>
      <c r="AV419" s="109"/>
      <c r="AW419" s="109"/>
      <c r="AX419" s="109"/>
      <c r="AY419" s="109"/>
      <c r="AZ419" s="109"/>
      <c r="BA419" s="109"/>
      <c r="BB419" s="109"/>
      <c r="BC419" s="109"/>
      <c r="BD419" s="109"/>
      <c r="BE419" s="109"/>
      <c r="BF419" s="109"/>
      <c r="BG419" s="109"/>
      <c r="BH419" s="109"/>
      <c r="BI419" s="109"/>
      <c r="BJ419" s="109"/>
      <c r="BK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63"/>
      <c r="J420" s="109"/>
      <c r="K420" s="109"/>
      <c r="L420" s="109"/>
      <c r="M420" s="109"/>
      <c r="N420" s="109"/>
      <c r="O420" s="164"/>
      <c r="P420" s="165"/>
      <c r="Q420" s="165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  <c r="AO420" s="109"/>
      <c r="AP420" s="109"/>
      <c r="AQ420" s="109"/>
      <c r="AR420" s="109"/>
      <c r="AS420" s="109"/>
      <c r="AT420" s="109"/>
      <c r="AU420" s="109"/>
      <c r="AV420" s="109"/>
      <c r="AW420" s="109"/>
      <c r="AX420" s="109"/>
      <c r="AY420" s="109"/>
      <c r="AZ420" s="109"/>
      <c r="BA420" s="109"/>
      <c r="BB420" s="109"/>
      <c r="BC420" s="109"/>
      <c r="BD420" s="109"/>
      <c r="BE420" s="109"/>
      <c r="BF420" s="109"/>
      <c r="BG420" s="109"/>
      <c r="BH420" s="109"/>
      <c r="BI420" s="109"/>
      <c r="BJ420" s="109"/>
      <c r="BK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63"/>
      <c r="J421" s="109"/>
      <c r="K421" s="109"/>
      <c r="L421" s="109"/>
      <c r="M421" s="109"/>
      <c r="N421" s="109"/>
      <c r="O421" s="164"/>
      <c r="P421" s="165"/>
      <c r="Q421" s="165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  <c r="AO421" s="109"/>
      <c r="AP421" s="109"/>
      <c r="AQ421" s="109"/>
      <c r="AR421" s="109"/>
      <c r="AS421" s="109"/>
      <c r="AT421" s="109"/>
      <c r="AU421" s="109"/>
      <c r="AV421" s="109"/>
      <c r="AW421" s="109"/>
      <c r="AX421" s="109"/>
      <c r="AY421" s="109"/>
      <c r="AZ421" s="109"/>
      <c r="BA421" s="109"/>
      <c r="BB421" s="109"/>
      <c r="BC421" s="109"/>
      <c r="BD421" s="109"/>
      <c r="BE421" s="109"/>
      <c r="BF421" s="109"/>
      <c r="BG421" s="109"/>
      <c r="BH421" s="109"/>
      <c r="BI421" s="109"/>
      <c r="BJ421" s="109"/>
      <c r="BK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63"/>
      <c r="J422" s="109"/>
      <c r="K422" s="109"/>
      <c r="L422" s="109"/>
      <c r="M422" s="109"/>
      <c r="N422" s="109"/>
      <c r="O422" s="164"/>
      <c r="P422" s="165"/>
      <c r="Q422" s="165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  <c r="AO422" s="109"/>
      <c r="AP422" s="109"/>
      <c r="AQ422" s="109"/>
      <c r="AR422" s="109"/>
      <c r="AS422" s="109"/>
      <c r="AT422" s="109"/>
      <c r="AU422" s="109"/>
      <c r="AV422" s="109"/>
      <c r="AW422" s="109"/>
      <c r="AX422" s="109"/>
      <c r="AY422" s="109"/>
      <c r="AZ422" s="109"/>
      <c r="BA422" s="109"/>
      <c r="BB422" s="109"/>
      <c r="BC422" s="109"/>
      <c r="BD422" s="109"/>
      <c r="BE422" s="109"/>
      <c r="BF422" s="109"/>
      <c r="BG422" s="109"/>
      <c r="BH422" s="109"/>
      <c r="BI422" s="109"/>
      <c r="BJ422" s="109"/>
      <c r="BK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63"/>
      <c r="J423" s="109"/>
      <c r="K423" s="109"/>
      <c r="L423" s="109"/>
      <c r="M423" s="109"/>
      <c r="N423" s="109"/>
      <c r="O423" s="164"/>
      <c r="P423" s="165"/>
      <c r="Q423" s="165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  <c r="AO423" s="109"/>
      <c r="AP423" s="109"/>
      <c r="AQ423" s="109"/>
      <c r="AR423" s="109"/>
      <c r="AS423" s="109"/>
      <c r="AT423" s="109"/>
      <c r="AU423" s="109"/>
      <c r="AV423" s="109"/>
      <c r="AW423" s="109"/>
      <c r="AX423" s="109"/>
      <c r="AY423" s="109"/>
      <c r="AZ423" s="109"/>
      <c r="BA423" s="109"/>
      <c r="BB423" s="109"/>
      <c r="BC423" s="109"/>
      <c r="BD423" s="109"/>
      <c r="BE423" s="109"/>
      <c r="BF423" s="109"/>
      <c r="BG423" s="109"/>
      <c r="BH423" s="109"/>
      <c r="BI423" s="109"/>
      <c r="BJ423" s="109"/>
      <c r="BK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63"/>
      <c r="J424" s="109"/>
      <c r="K424" s="109"/>
      <c r="L424" s="109"/>
      <c r="M424" s="109"/>
      <c r="N424" s="109"/>
      <c r="O424" s="164"/>
      <c r="P424" s="165"/>
      <c r="Q424" s="165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  <c r="AO424" s="109"/>
      <c r="AP424" s="109"/>
      <c r="AQ424" s="109"/>
      <c r="AR424" s="109"/>
      <c r="AS424" s="109"/>
      <c r="AT424" s="109"/>
      <c r="AU424" s="109"/>
      <c r="AV424" s="109"/>
      <c r="AW424" s="109"/>
      <c r="AX424" s="109"/>
      <c r="AY424" s="109"/>
      <c r="AZ424" s="109"/>
      <c r="BA424" s="109"/>
      <c r="BB424" s="109"/>
      <c r="BC424" s="109"/>
      <c r="BD424" s="109"/>
      <c r="BE424" s="109"/>
      <c r="BF424" s="109"/>
      <c r="BG424" s="109"/>
      <c r="BH424" s="109"/>
      <c r="BI424" s="109"/>
      <c r="BJ424" s="109"/>
      <c r="BK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63"/>
      <c r="J425" s="109"/>
      <c r="K425" s="109"/>
      <c r="L425" s="109"/>
      <c r="M425" s="109"/>
      <c r="N425" s="109"/>
      <c r="O425" s="164"/>
      <c r="P425" s="165"/>
      <c r="Q425" s="165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  <c r="AO425" s="109"/>
      <c r="AP425" s="109"/>
      <c r="AQ425" s="109"/>
      <c r="AR425" s="109"/>
      <c r="AS425" s="109"/>
      <c r="AT425" s="109"/>
      <c r="AU425" s="109"/>
      <c r="AV425" s="109"/>
      <c r="AW425" s="109"/>
      <c r="AX425" s="109"/>
      <c r="AY425" s="109"/>
      <c r="AZ425" s="109"/>
      <c r="BA425" s="109"/>
      <c r="BB425" s="109"/>
      <c r="BC425" s="109"/>
      <c r="BD425" s="109"/>
      <c r="BE425" s="109"/>
      <c r="BF425" s="109"/>
      <c r="BG425" s="109"/>
      <c r="BH425" s="109"/>
      <c r="BI425" s="109"/>
      <c r="BJ425" s="109"/>
      <c r="BK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63"/>
      <c r="J426" s="109"/>
      <c r="K426" s="109"/>
      <c r="L426" s="109"/>
      <c r="M426" s="109"/>
      <c r="N426" s="109"/>
      <c r="O426" s="164"/>
      <c r="P426" s="165"/>
      <c r="Q426" s="165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  <c r="AO426" s="109"/>
      <c r="AP426" s="109"/>
      <c r="AQ426" s="109"/>
      <c r="AR426" s="109"/>
      <c r="AS426" s="109"/>
      <c r="AT426" s="109"/>
      <c r="AU426" s="109"/>
      <c r="AV426" s="109"/>
      <c r="AW426" s="109"/>
      <c r="AX426" s="109"/>
      <c r="AY426" s="109"/>
      <c r="AZ426" s="109"/>
      <c r="BA426" s="109"/>
      <c r="BB426" s="109"/>
      <c r="BC426" s="109"/>
      <c r="BD426" s="109"/>
      <c r="BE426" s="109"/>
      <c r="BF426" s="109"/>
      <c r="BG426" s="109"/>
      <c r="BH426" s="109"/>
      <c r="BI426" s="109"/>
      <c r="BJ426" s="109"/>
      <c r="BK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63"/>
      <c r="J427" s="109"/>
      <c r="K427" s="109"/>
      <c r="L427" s="109"/>
      <c r="M427" s="109"/>
      <c r="N427" s="109"/>
      <c r="O427" s="164"/>
      <c r="P427" s="165"/>
      <c r="Q427" s="165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  <c r="AO427" s="109"/>
      <c r="AP427" s="109"/>
      <c r="AQ427" s="109"/>
      <c r="AR427" s="109"/>
      <c r="AS427" s="109"/>
      <c r="AT427" s="109"/>
      <c r="AU427" s="109"/>
      <c r="AV427" s="109"/>
      <c r="AW427" s="109"/>
      <c r="AX427" s="109"/>
      <c r="AY427" s="109"/>
      <c r="AZ427" s="109"/>
      <c r="BA427" s="109"/>
      <c r="BB427" s="109"/>
      <c r="BC427" s="109"/>
      <c r="BD427" s="109"/>
      <c r="BE427" s="109"/>
      <c r="BF427" s="109"/>
      <c r="BG427" s="109"/>
      <c r="BH427" s="109"/>
      <c r="BI427" s="109"/>
      <c r="BJ427" s="109"/>
      <c r="BK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63"/>
      <c r="J428" s="109"/>
      <c r="K428" s="109"/>
      <c r="L428" s="109"/>
      <c r="M428" s="109"/>
      <c r="N428" s="109"/>
      <c r="O428" s="164"/>
      <c r="P428" s="165"/>
      <c r="Q428" s="165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  <c r="AO428" s="109"/>
      <c r="AP428" s="109"/>
      <c r="AQ428" s="109"/>
      <c r="AR428" s="109"/>
      <c r="AS428" s="109"/>
      <c r="AT428" s="109"/>
      <c r="AU428" s="109"/>
      <c r="AV428" s="109"/>
      <c r="AW428" s="109"/>
      <c r="AX428" s="109"/>
      <c r="AY428" s="109"/>
      <c r="AZ428" s="109"/>
      <c r="BA428" s="109"/>
      <c r="BB428" s="109"/>
      <c r="BC428" s="109"/>
      <c r="BD428" s="109"/>
      <c r="BE428" s="109"/>
      <c r="BF428" s="109"/>
      <c r="BG428" s="109"/>
      <c r="BH428" s="109"/>
      <c r="BI428" s="109"/>
      <c r="BJ428" s="109"/>
      <c r="BK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63"/>
      <c r="J429" s="109"/>
      <c r="K429" s="109"/>
      <c r="L429" s="109"/>
      <c r="M429" s="109"/>
      <c r="N429" s="109"/>
      <c r="O429" s="164"/>
      <c r="P429" s="165"/>
      <c r="Q429" s="165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  <c r="AO429" s="109"/>
      <c r="AP429" s="109"/>
      <c r="AQ429" s="109"/>
      <c r="AR429" s="109"/>
      <c r="AS429" s="109"/>
      <c r="AT429" s="109"/>
      <c r="AU429" s="109"/>
      <c r="AV429" s="109"/>
      <c r="AW429" s="109"/>
      <c r="AX429" s="109"/>
      <c r="AY429" s="109"/>
      <c r="AZ429" s="109"/>
      <c r="BA429" s="109"/>
      <c r="BB429" s="109"/>
      <c r="BC429" s="109"/>
      <c r="BD429" s="109"/>
      <c r="BE429" s="109"/>
      <c r="BF429" s="109"/>
      <c r="BG429" s="109"/>
      <c r="BH429" s="109"/>
      <c r="BI429" s="109"/>
      <c r="BJ429" s="109"/>
      <c r="BK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63"/>
      <c r="J430" s="109"/>
      <c r="K430" s="109"/>
      <c r="L430" s="109"/>
      <c r="M430" s="109"/>
      <c r="N430" s="109"/>
      <c r="O430" s="164"/>
      <c r="P430" s="165"/>
      <c r="Q430" s="165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  <c r="AO430" s="109"/>
      <c r="AP430" s="109"/>
      <c r="AQ430" s="109"/>
      <c r="AR430" s="109"/>
      <c r="AS430" s="109"/>
      <c r="AT430" s="109"/>
      <c r="AU430" s="109"/>
      <c r="AV430" s="109"/>
      <c r="AW430" s="109"/>
      <c r="AX430" s="109"/>
      <c r="AY430" s="109"/>
      <c r="AZ430" s="109"/>
      <c r="BA430" s="109"/>
      <c r="BB430" s="109"/>
      <c r="BC430" s="109"/>
      <c r="BD430" s="109"/>
      <c r="BE430" s="109"/>
      <c r="BF430" s="109"/>
      <c r="BG430" s="109"/>
      <c r="BH430" s="109"/>
      <c r="BI430" s="109"/>
      <c r="BJ430" s="109"/>
      <c r="BK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63"/>
      <c r="J431" s="109"/>
      <c r="K431" s="109"/>
      <c r="L431" s="109"/>
      <c r="M431" s="109"/>
      <c r="N431" s="109"/>
      <c r="O431" s="164"/>
      <c r="P431" s="165"/>
      <c r="Q431" s="165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  <c r="AO431" s="109"/>
      <c r="AP431" s="109"/>
      <c r="AQ431" s="109"/>
      <c r="AR431" s="109"/>
      <c r="AS431" s="109"/>
      <c r="AT431" s="109"/>
      <c r="AU431" s="109"/>
      <c r="AV431" s="109"/>
      <c r="AW431" s="109"/>
      <c r="AX431" s="109"/>
      <c r="AY431" s="109"/>
      <c r="AZ431" s="109"/>
      <c r="BA431" s="109"/>
      <c r="BB431" s="109"/>
      <c r="BC431" s="109"/>
      <c r="BD431" s="109"/>
      <c r="BE431" s="109"/>
      <c r="BF431" s="109"/>
      <c r="BG431" s="109"/>
      <c r="BH431" s="109"/>
      <c r="BI431" s="109"/>
      <c r="BJ431" s="109"/>
      <c r="BK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63"/>
      <c r="J432" s="109"/>
      <c r="K432" s="109"/>
      <c r="L432" s="109"/>
      <c r="M432" s="109"/>
      <c r="N432" s="109"/>
      <c r="O432" s="164"/>
      <c r="P432" s="165"/>
      <c r="Q432" s="165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  <c r="AO432" s="109"/>
      <c r="AP432" s="109"/>
      <c r="AQ432" s="109"/>
      <c r="AR432" s="109"/>
      <c r="AS432" s="109"/>
      <c r="AT432" s="109"/>
      <c r="AU432" s="109"/>
      <c r="AV432" s="109"/>
      <c r="AW432" s="109"/>
      <c r="AX432" s="109"/>
      <c r="AY432" s="109"/>
      <c r="AZ432" s="109"/>
      <c r="BA432" s="109"/>
      <c r="BB432" s="109"/>
      <c r="BC432" s="109"/>
      <c r="BD432" s="109"/>
      <c r="BE432" s="109"/>
      <c r="BF432" s="109"/>
      <c r="BG432" s="109"/>
      <c r="BH432" s="109"/>
      <c r="BI432" s="109"/>
      <c r="BJ432" s="109"/>
      <c r="BK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63"/>
      <c r="J433" s="109"/>
      <c r="K433" s="109"/>
      <c r="L433" s="109"/>
      <c r="M433" s="109"/>
      <c r="N433" s="109"/>
      <c r="O433" s="164"/>
      <c r="P433" s="165"/>
      <c r="Q433" s="165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  <c r="AO433" s="109"/>
      <c r="AP433" s="109"/>
      <c r="AQ433" s="109"/>
      <c r="AR433" s="109"/>
      <c r="AS433" s="109"/>
      <c r="AT433" s="109"/>
      <c r="AU433" s="109"/>
      <c r="AV433" s="109"/>
      <c r="AW433" s="109"/>
      <c r="AX433" s="109"/>
      <c r="AY433" s="109"/>
      <c r="AZ433" s="109"/>
      <c r="BA433" s="109"/>
      <c r="BB433" s="109"/>
      <c r="BC433" s="109"/>
      <c r="BD433" s="109"/>
      <c r="BE433" s="109"/>
      <c r="BF433" s="109"/>
      <c r="BG433" s="109"/>
      <c r="BH433" s="109"/>
      <c r="BI433" s="109"/>
      <c r="BJ433" s="109"/>
      <c r="BK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63"/>
      <c r="J434" s="109"/>
      <c r="K434" s="109"/>
      <c r="L434" s="109"/>
      <c r="M434" s="109"/>
      <c r="N434" s="109"/>
      <c r="O434" s="164"/>
      <c r="P434" s="165"/>
      <c r="Q434" s="165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  <c r="AO434" s="109"/>
      <c r="AP434" s="109"/>
      <c r="AQ434" s="109"/>
      <c r="AR434" s="109"/>
      <c r="AS434" s="109"/>
      <c r="AT434" s="109"/>
      <c r="AU434" s="109"/>
      <c r="AV434" s="109"/>
      <c r="AW434" s="109"/>
      <c r="AX434" s="109"/>
      <c r="AY434" s="109"/>
      <c r="AZ434" s="109"/>
      <c r="BA434" s="109"/>
      <c r="BB434" s="109"/>
      <c r="BC434" s="109"/>
      <c r="BD434" s="109"/>
      <c r="BE434" s="109"/>
      <c r="BF434" s="109"/>
      <c r="BG434" s="109"/>
      <c r="BH434" s="109"/>
      <c r="BI434" s="109"/>
      <c r="BJ434" s="109"/>
      <c r="BK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63"/>
      <c r="J435" s="109"/>
      <c r="K435" s="109"/>
      <c r="L435" s="109"/>
      <c r="M435" s="109"/>
      <c r="N435" s="109"/>
      <c r="O435" s="164"/>
      <c r="P435" s="165"/>
      <c r="Q435" s="165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  <c r="AO435" s="109"/>
      <c r="AP435" s="109"/>
      <c r="AQ435" s="109"/>
      <c r="AR435" s="109"/>
      <c r="AS435" s="109"/>
      <c r="AT435" s="109"/>
      <c r="AU435" s="109"/>
      <c r="AV435" s="109"/>
      <c r="AW435" s="109"/>
      <c r="AX435" s="109"/>
      <c r="AY435" s="109"/>
      <c r="AZ435" s="109"/>
      <c r="BA435" s="109"/>
      <c r="BB435" s="109"/>
      <c r="BC435" s="109"/>
      <c r="BD435" s="109"/>
      <c r="BE435" s="109"/>
      <c r="BF435" s="109"/>
      <c r="BG435" s="109"/>
      <c r="BH435" s="109"/>
      <c r="BI435" s="109"/>
      <c r="BJ435" s="109"/>
      <c r="BK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63"/>
      <c r="J436" s="109"/>
      <c r="K436" s="109"/>
      <c r="L436" s="109"/>
      <c r="M436" s="109"/>
      <c r="N436" s="109"/>
      <c r="O436" s="164"/>
      <c r="P436" s="165"/>
      <c r="Q436" s="165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  <c r="AO436" s="109"/>
      <c r="AP436" s="109"/>
      <c r="AQ436" s="109"/>
      <c r="AR436" s="109"/>
      <c r="AS436" s="109"/>
      <c r="AT436" s="109"/>
      <c r="AU436" s="109"/>
      <c r="AV436" s="109"/>
      <c r="AW436" s="109"/>
      <c r="AX436" s="109"/>
      <c r="AY436" s="109"/>
      <c r="AZ436" s="109"/>
      <c r="BA436" s="109"/>
      <c r="BB436" s="109"/>
      <c r="BC436" s="109"/>
      <c r="BD436" s="109"/>
      <c r="BE436" s="109"/>
      <c r="BF436" s="109"/>
      <c r="BG436" s="109"/>
      <c r="BH436" s="109"/>
      <c r="BI436" s="109"/>
      <c r="BJ436" s="109"/>
      <c r="BK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63"/>
      <c r="J437" s="109"/>
      <c r="K437" s="109"/>
      <c r="L437" s="109"/>
      <c r="M437" s="109"/>
      <c r="N437" s="109"/>
      <c r="O437" s="164"/>
      <c r="P437" s="165"/>
      <c r="Q437" s="165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  <c r="AO437" s="109"/>
      <c r="AP437" s="109"/>
      <c r="AQ437" s="109"/>
      <c r="AR437" s="109"/>
      <c r="AS437" s="109"/>
      <c r="AT437" s="109"/>
      <c r="AU437" s="109"/>
      <c r="AV437" s="109"/>
      <c r="AW437" s="109"/>
      <c r="AX437" s="109"/>
      <c r="AY437" s="109"/>
      <c r="AZ437" s="109"/>
      <c r="BA437" s="109"/>
      <c r="BB437" s="109"/>
      <c r="BC437" s="109"/>
      <c r="BD437" s="109"/>
      <c r="BE437" s="109"/>
      <c r="BF437" s="109"/>
      <c r="BG437" s="109"/>
      <c r="BH437" s="109"/>
      <c r="BI437" s="109"/>
      <c r="BJ437" s="109"/>
      <c r="BK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63"/>
      <c r="J438" s="109"/>
      <c r="K438" s="109"/>
      <c r="L438" s="109"/>
      <c r="M438" s="109"/>
      <c r="N438" s="109"/>
      <c r="O438" s="164"/>
      <c r="P438" s="165"/>
      <c r="Q438" s="165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  <c r="AO438" s="109"/>
      <c r="AP438" s="109"/>
      <c r="AQ438" s="109"/>
      <c r="AR438" s="109"/>
      <c r="AS438" s="109"/>
      <c r="AT438" s="109"/>
      <c r="AU438" s="109"/>
      <c r="AV438" s="109"/>
      <c r="AW438" s="109"/>
      <c r="AX438" s="109"/>
      <c r="AY438" s="109"/>
      <c r="AZ438" s="109"/>
      <c r="BA438" s="109"/>
      <c r="BB438" s="109"/>
      <c r="BC438" s="109"/>
      <c r="BD438" s="109"/>
      <c r="BE438" s="109"/>
      <c r="BF438" s="109"/>
      <c r="BG438" s="109"/>
      <c r="BH438" s="109"/>
      <c r="BI438" s="109"/>
      <c r="BJ438" s="109"/>
      <c r="BK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63"/>
      <c r="J439" s="109"/>
      <c r="K439" s="109"/>
      <c r="L439" s="109"/>
      <c r="M439" s="109"/>
      <c r="N439" s="109"/>
      <c r="O439" s="164"/>
      <c r="P439" s="165"/>
      <c r="Q439" s="165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  <c r="AO439" s="109"/>
      <c r="AP439" s="109"/>
      <c r="AQ439" s="109"/>
      <c r="AR439" s="109"/>
      <c r="AS439" s="109"/>
      <c r="AT439" s="109"/>
      <c r="AU439" s="109"/>
      <c r="AV439" s="109"/>
      <c r="AW439" s="109"/>
      <c r="AX439" s="109"/>
      <c r="AY439" s="109"/>
      <c r="AZ439" s="109"/>
      <c r="BA439" s="109"/>
      <c r="BB439" s="109"/>
      <c r="BC439" s="109"/>
      <c r="BD439" s="109"/>
      <c r="BE439" s="109"/>
      <c r="BF439" s="109"/>
      <c r="BG439" s="109"/>
      <c r="BH439" s="109"/>
      <c r="BI439" s="109"/>
      <c r="BJ439" s="109"/>
      <c r="BK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63"/>
      <c r="J440" s="109"/>
      <c r="K440" s="109"/>
      <c r="L440" s="109"/>
      <c r="M440" s="109"/>
      <c r="N440" s="109"/>
      <c r="O440" s="164"/>
      <c r="P440" s="165"/>
      <c r="Q440" s="165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  <c r="AO440" s="109"/>
      <c r="AP440" s="109"/>
      <c r="AQ440" s="109"/>
      <c r="AR440" s="109"/>
      <c r="AS440" s="109"/>
      <c r="AT440" s="109"/>
      <c r="AU440" s="109"/>
      <c r="AV440" s="109"/>
      <c r="AW440" s="109"/>
      <c r="AX440" s="109"/>
      <c r="AY440" s="109"/>
      <c r="AZ440" s="109"/>
      <c r="BA440" s="109"/>
      <c r="BB440" s="109"/>
      <c r="BC440" s="109"/>
      <c r="BD440" s="109"/>
      <c r="BE440" s="109"/>
      <c r="BF440" s="109"/>
      <c r="BG440" s="109"/>
      <c r="BH440" s="109"/>
      <c r="BI440" s="109"/>
      <c r="BJ440" s="109"/>
      <c r="BK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63"/>
      <c r="J441" s="109"/>
      <c r="K441" s="109"/>
      <c r="L441" s="109"/>
      <c r="M441" s="109"/>
      <c r="N441" s="109"/>
      <c r="O441" s="164"/>
      <c r="P441" s="165"/>
      <c r="Q441" s="165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  <c r="AO441" s="109"/>
      <c r="AP441" s="109"/>
      <c r="AQ441" s="109"/>
      <c r="AR441" s="109"/>
      <c r="AS441" s="109"/>
      <c r="AT441" s="109"/>
      <c r="AU441" s="109"/>
      <c r="AV441" s="109"/>
      <c r="AW441" s="109"/>
      <c r="AX441" s="109"/>
      <c r="AY441" s="109"/>
      <c r="AZ441" s="109"/>
      <c r="BA441" s="109"/>
      <c r="BB441" s="109"/>
      <c r="BC441" s="109"/>
      <c r="BD441" s="109"/>
      <c r="BE441" s="109"/>
      <c r="BF441" s="109"/>
      <c r="BG441" s="109"/>
      <c r="BH441" s="109"/>
      <c r="BI441" s="109"/>
      <c r="BJ441" s="109"/>
      <c r="BK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63"/>
      <c r="J442" s="109"/>
      <c r="K442" s="109"/>
      <c r="L442" s="109"/>
      <c r="M442" s="109"/>
      <c r="N442" s="109"/>
      <c r="O442" s="164"/>
      <c r="P442" s="165"/>
      <c r="Q442" s="165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  <c r="AO442" s="109"/>
      <c r="AP442" s="109"/>
      <c r="AQ442" s="109"/>
      <c r="AR442" s="109"/>
      <c r="AS442" s="109"/>
      <c r="AT442" s="109"/>
      <c r="AU442" s="109"/>
      <c r="AV442" s="109"/>
      <c r="AW442" s="109"/>
      <c r="AX442" s="109"/>
      <c r="AY442" s="109"/>
      <c r="AZ442" s="109"/>
      <c r="BA442" s="109"/>
      <c r="BB442" s="109"/>
      <c r="BC442" s="109"/>
      <c r="BD442" s="109"/>
      <c r="BE442" s="109"/>
      <c r="BF442" s="109"/>
      <c r="BG442" s="109"/>
      <c r="BH442" s="109"/>
      <c r="BI442" s="109"/>
      <c r="BJ442" s="109"/>
      <c r="BK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63"/>
      <c r="J443" s="109"/>
      <c r="K443" s="109"/>
      <c r="L443" s="109"/>
      <c r="M443" s="109"/>
      <c r="N443" s="109"/>
      <c r="O443" s="164"/>
      <c r="P443" s="165"/>
      <c r="Q443" s="165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  <c r="AO443" s="109"/>
      <c r="AP443" s="109"/>
      <c r="AQ443" s="109"/>
      <c r="AR443" s="109"/>
      <c r="AS443" s="109"/>
      <c r="AT443" s="109"/>
      <c r="AU443" s="109"/>
      <c r="AV443" s="109"/>
      <c r="AW443" s="109"/>
      <c r="AX443" s="109"/>
      <c r="AY443" s="109"/>
      <c r="AZ443" s="109"/>
      <c r="BA443" s="109"/>
      <c r="BB443" s="109"/>
      <c r="BC443" s="109"/>
      <c r="BD443" s="109"/>
      <c r="BE443" s="109"/>
      <c r="BF443" s="109"/>
      <c r="BG443" s="109"/>
      <c r="BH443" s="109"/>
      <c r="BI443" s="109"/>
      <c r="BJ443" s="109"/>
      <c r="BK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63"/>
      <c r="J444" s="109"/>
      <c r="K444" s="109"/>
      <c r="L444" s="109"/>
      <c r="M444" s="109"/>
      <c r="N444" s="109"/>
      <c r="O444" s="164"/>
      <c r="P444" s="165"/>
      <c r="Q444" s="165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  <c r="AO444" s="109"/>
      <c r="AP444" s="109"/>
      <c r="AQ444" s="109"/>
      <c r="AR444" s="109"/>
      <c r="AS444" s="109"/>
      <c r="AT444" s="109"/>
      <c r="AU444" s="109"/>
      <c r="AV444" s="109"/>
      <c r="AW444" s="109"/>
      <c r="AX444" s="109"/>
      <c r="AY444" s="109"/>
      <c r="AZ444" s="109"/>
      <c r="BA444" s="109"/>
      <c r="BB444" s="109"/>
      <c r="BC444" s="109"/>
      <c r="BD444" s="109"/>
      <c r="BE444" s="109"/>
      <c r="BF444" s="109"/>
      <c r="BG444" s="109"/>
      <c r="BH444" s="109"/>
      <c r="BI444" s="109"/>
      <c r="BJ444" s="109"/>
      <c r="BK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63"/>
      <c r="J445" s="109"/>
      <c r="K445" s="109"/>
      <c r="L445" s="109"/>
      <c r="M445" s="109"/>
      <c r="N445" s="109"/>
      <c r="O445" s="164"/>
      <c r="P445" s="165"/>
      <c r="Q445" s="165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  <c r="AO445" s="109"/>
      <c r="AP445" s="109"/>
      <c r="AQ445" s="109"/>
      <c r="AR445" s="109"/>
      <c r="AS445" s="109"/>
      <c r="AT445" s="109"/>
      <c r="AU445" s="109"/>
      <c r="AV445" s="109"/>
      <c r="AW445" s="109"/>
      <c r="AX445" s="109"/>
      <c r="AY445" s="109"/>
      <c r="AZ445" s="109"/>
      <c r="BA445" s="109"/>
      <c r="BB445" s="109"/>
      <c r="BC445" s="109"/>
      <c r="BD445" s="109"/>
      <c r="BE445" s="109"/>
      <c r="BF445" s="109"/>
      <c r="BG445" s="109"/>
      <c r="BH445" s="109"/>
      <c r="BI445" s="109"/>
      <c r="BJ445" s="109"/>
      <c r="BK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63"/>
      <c r="J446" s="109"/>
      <c r="K446" s="109"/>
      <c r="L446" s="109"/>
      <c r="M446" s="109"/>
      <c r="N446" s="109"/>
      <c r="O446" s="164"/>
      <c r="P446" s="165"/>
      <c r="Q446" s="165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  <c r="AO446" s="109"/>
      <c r="AP446" s="109"/>
      <c r="AQ446" s="109"/>
      <c r="AR446" s="109"/>
      <c r="AS446" s="109"/>
      <c r="AT446" s="109"/>
      <c r="AU446" s="109"/>
      <c r="AV446" s="109"/>
      <c r="AW446" s="109"/>
      <c r="AX446" s="109"/>
      <c r="AY446" s="109"/>
      <c r="AZ446" s="109"/>
      <c r="BA446" s="109"/>
      <c r="BB446" s="109"/>
      <c r="BC446" s="109"/>
      <c r="BD446" s="109"/>
      <c r="BE446" s="109"/>
      <c r="BF446" s="109"/>
      <c r="BG446" s="109"/>
      <c r="BH446" s="109"/>
      <c r="BI446" s="109"/>
      <c r="BJ446" s="109"/>
      <c r="BK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63"/>
      <c r="J447" s="109"/>
      <c r="K447" s="109"/>
      <c r="L447" s="109"/>
      <c r="M447" s="109"/>
      <c r="N447" s="109"/>
      <c r="O447" s="164"/>
      <c r="P447" s="165"/>
      <c r="Q447" s="165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  <c r="AO447" s="109"/>
      <c r="AP447" s="109"/>
      <c r="AQ447" s="109"/>
      <c r="AR447" s="109"/>
      <c r="AS447" s="109"/>
      <c r="AT447" s="109"/>
      <c r="AU447" s="109"/>
      <c r="AV447" s="109"/>
      <c r="AW447" s="109"/>
      <c r="AX447" s="109"/>
      <c r="AY447" s="109"/>
      <c r="AZ447" s="109"/>
      <c r="BA447" s="109"/>
      <c r="BB447" s="109"/>
      <c r="BC447" s="109"/>
      <c r="BD447" s="109"/>
      <c r="BE447" s="109"/>
      <c r="BF447" s="109"/>
      <c r="BG447" s="109"/>
      <c r="BH447" s="109"/>
      <c r="BI447" s="109"/>
      <c r="BJ447" s="109"/>
      <c r="BK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63"/>
      <c r="J448" s="109"/>
      <c r="K448" s="109"/>
      <c r="L448" s="109"/>
      <c r="M448" s="109"/>
      <c r="N448" s="109"/>
      <c r="O448" s="164"/>
      <c r="P448" s="165"/>
      <c r="Q448" s="165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  <c r="AO448" s="109"/>
      <c r="AP448" s="109"/>
      <c r="AQ448" s="109"/>
      <c r="AR448" s="109"/>
      <c r="AS448" s="109"/>
      <c r="AT448" s="109"/>
      <c r="AU448" s="109"/>
      <c r="AV448" s="109"/>
      <c r="AW448" s="109"/>
      <c r="AX448" s="109"/>
      <c r="AY448" s="109"/>
      <c r="AZ448" s="109"/>
      <c r="BA448" s="109"/>
      <c r="BB448" s="109"/>
      <c r="BC448" s="109"/>
      <c r="BD448" s="109"/>
      <c r="BE448" s="109"/>
      <c r="BF448" s="109"/>
      <c r="BG448" s="109"/>
      <c r="BH448" s="109"/>
      <c r="BI448" s="109"/>
      <c r="BJ448" s="109"/>
      <c r="BK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63"/>
      <c r="J449" s="109"/>
      <c r="K449" s="109"/>
      <c r="L449" s="109"/>
      <c r="M449" s="109"/>
      <c r="N449" s="109"/>
      <c r="O449" s="164"/>
      <c r="P449" s="165"/>
      <c r="Q449" s="165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  <c r="AO449" s="109"/>
      <c r="AP449" s="109"/>
      <c r="AQ449" s="109"/>
      <c r="AR449" s="109"/>
      <c r="AS449" s="109"/>
      <c r="AT449" s="109"/>
      <c r="AU449" s="109"/>
      <c r="AV449" s="109"/>
      <c r="AW449" s="109"/>
      <c r="AX449" s="109"/>
      <c r="AY449" s="109"/>
      <c r="AZ449" s="109"/>
      <c r="BA449" s="109"/>
      <c r="BB449" s="109"/>
      <c r="BC449" s="109"/>
      <c r="BD449" s="109"/>
      <c r="BE449" s="109"/>
      <c r="BF449" s="109"/>
      <c r="BG449" s="109"/>
      <c r="BH449" s="109"/>
      <c r="BI449" s="109"/>
      <c r="BJ449" s="109"/>
      <c r="BK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63"/>
      <c r="J450" s="109"/>
      <c r="K450" s="109"/>
      <c r="L450" s="109"/>
      <c r="M450" s="109"/>
      <c r="N450" s="109"/>
      <c r="O450" s="164"/>
      <c r="P450" s="165"/>
      <c r="Q450" s="165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  <c r="AO450" s="109"/>
      <c r="AP450" s="109"/>
      <c r="AQ450" s="109"/>
      <c r="AR450" s="109"/>
      <c r="AS450" s="109"/>
      <c r="AT450" s="109"/>
      <c r="AU450" s="109"/>
      <c r="AV450" s="109"/>
      <c r="AW450" s="109"/>
      <c r="AX450" s="109"/>
      <c r="AY450" s="109"/>
      <c r="AZ450" s="109"/>
      <c r="BA450" s="109"/>
      <c r="BB450" s="109"/>
      <c r="BC450" s="109"/>
      <c r="BD450" s="109"/>
      <c r="BE450" s="109"/>
      <c r="BF450" s="109"/>
      <c r="BG450" s="109"/>
      <c r="BH450" s="109"/>
      <c r="BI450" s="109"/>
      <c r="BJ450" s="109"/>
      <c r="BK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63"/>
      <c r="J451" s="109"/>
      <c r="K451" s="109"/>
      <c r="L451" s="109"/>
      <c r="M451" s="109"/>
      <c r="N451" s="109"/>
      <c r="O451" s="164"/>
      <c r="P451" s="165"/>
      <c r="Q451" s="165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  <c r="AO451" s="109"/>
      <c r="AP451" s="109"/>
      <c r="AQ451" s="109"/>
      <c r="AR451" s="109"/>
      <c r="AS451" s="109"/>
      <c r="AT451" s="109"/>
      <c r="AU451" s="109"/>
      <c r="AV451" s="109"/>
      <c r="AW451" s="109"/>
      <c r="AX451" s="109"/>
      <c r="AY451" s="109"/>
      <c r="AZ451" s="109"/>
      <c r="BA451" s="109"/>
      <c r="BB451" s="109"/>
      <c r="BC451" s="109"/>
      <c r="BD451" s="109"/>
      <c r="BE451" s="109"/>
      <c r="BF451" s="109"/>
      <c r="BG451" s="109"/>
      <c r="BH451" s="109"/>
      <c r="BI451" s="109"/>
      <c r="BJ451" s="109"/>
      <c r="BK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63"/>
      <c r="J452" s="109"/>
      <c r="K452" s="109"/>
      <c r="L452" s="109"/>
      <c r="M452" s="109"/>
      <c r="N452" s="109"/>
      <c r="O452" s="164"/>
      <c r="P452" s="165"/>
      <c r="Q452" s="165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  <c r="AO452" s="109"/>
      <c r="AP452" s="109"/>
      <c r="AQ452" s="109"/>
      <c r="AR452" s="109"/>
      <c r="AS452" s="109"/>
      <c r="AT452" s="109"/>
      <c r="AU452" s="109"/>
      <c r="AV452" s="109"/>
      <c r="AW452" s="109"/>
      <c r="AX452" s="109"/>
      <c r="AY452" s="109"/>
      <c r="AZ452" s="109"/>
      <c r="BA452" s="109"/>
      <c r="BB452" s="109"/>
      <c r="BC452" s="109"/>
      <c r="BD452" s="109"/>
      <c r="BE452" s="109"/>
      <c r="BF452" s="109"/>
      <c r="BG452" s="109"/>
      <c r="BH452" s="109"/>
      <c r="BI452" s="109"/>
      <c r="BJ452" s="109"/>
      <c r="BK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63"/>
      <c r="J453" s="109"/>
      <c r="K453" s="109"/>
      <c r="L453" s="109"/>
      <c r="M453" s="109"/>
      <c r="N453" s="109"/>
      <c r="O453" s="164"/>
      <c r="P453" s="165"/>
      <c r="Q453" s="165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  <c r="AO453" s="109"/>
      <c r="AP453" s="109"/>
      <c r="AQ453" s="109"/>
      <c r="AR453" s="109"/>
      <c r="AS453" s="109"/>
      <c r="AT453" s="109"/>
      <c r="AU453" s="109"/>
      <c r="AV453" s="109"/>
      <c r="AW453" s="109"/>
      <c r="AX453" s="109"/>
      <c r="AY453" s="109"/>
      <c r="AZ453" s="109"/>
      <c r="BA453" s="109"/>
      <c r="BB453" s="109"/>
      <c r="BC453" s="109"/>
      <c r="BD453" s="109"/>
      <c r="BE453" s="109"/>
      <c r="BF453" s="109"/>
      <c r="BG453" s="109"/>
      <c r="BH453" s="109"/>
      <c r="BI453" s="109"/>
      <c r="BJ453" s="109"/>
      <c r="BK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63"/>
      <c r="J454" s="109"/>
      <c r="K454" s="109"/>
      <c r="L454" s="109"/>
      <c r="M454" s="109"/>
      <c r="N454" s="109"/>
      <c r="O454" s="164"/>
      <c r="P454" s="165"/>
      <c r="Q454" s="165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  <c r="AO454" s="109"/>
      <c r="AP454" s="109"/>
      <c r="AQ454" s="109"/>
      <c r="AR454" s="109"/>
      <c r="AS454" s="109"/>
      <c r="AT454" s="109"/>
      <c r="AU454" s="109"/>
      <c r="AV454" s="109"/>
      <c r="AW454" s="109"/>
      <c r="AX454" s="109"/>
      <c r="AY454" s="109"/>
      <c r="AZ454" s="109"/>
      <c r="BA454" s="109"/>
      <c r="BB454" s="109"/>
      <c r="BC454" s="109"/>
      <c r="BD454" s="109"/>
      <c r="BE454" s="109"/>
      <c r="BF454" s="109"/>
      <c r="BG454" s="109"/>
      <c r="BH454" s="109"/>
      <c r="BI454" s="109"/>
      <c r="BJ454" s="109"/>
      <c r="BK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63"/>
      <c r="J455" s="109"/>
      <c r="K455" s="109"/>
      <c r="L455" s="109"/>
      <c r="M455" s="109"/>
      <c r="N455" s="109"/>
      <c r="O455" s="164"/>
      <c r="P455" s="165"/>
      <c r="Q455" s="165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  <c r="AO455" s="109"/>
      <c r="AP455" s="109"/>
      <c r="AQ455" s="109"/>
      <c r="AR455" s="109"/>
      <c r="AS455" s="109"/>
      <c r="AT455" s="109"/>
      <c r="AU455" s="109"/>
      <c r="AV455" s="109"/>
      <c r="AW455" s="109"/>
      <c r="AX455" s="109"/>
      <c r="AY455" s="109"/>
      <c r="AZ455" s="109"/>
      <c r="BA455" s="109"/>
      <c r="BB455" s="109"/>
      <c r="BC455" s="109"/>
      <c r="BD455" s="109"/>
      <c r="BE455" s="109"/>
      <c r="BF455" s="109"/>
      <c r="BG455" s="109"/>
      <c r="BH455" s="109"/>
      <c r="BI455" s="109"/>
      <c r="BJ455" s="109"/>
      <c r="BK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63"/>
      <c r="J456" s="109"/>
      <c r="K456" s="109"/>
      <c r="L456" s="109"/>
      <c r="M456" s="109"/>
      <c r="N456" s="109"/>
      <c r="O456" s="164"/>
      <c r="P456" s="165"/>
      <c r="Q456" s="165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  <c r="AO456" s="109"/>
      <c r="AP456" s="109"/>
      <c r="AQ456" s="109"/>
      <c r="AR456" s="109"/>
      <c r="AS456" s="109"/>
      <c r="AT456" s="109"/>
      <c r="AU456" s="109"/>
      <c r="AV456" s="109"/>
      <c r="AW456" s="109"/>
      <c r="AX456" s="109"/>
      <c r="AY456" s="109"/>
      <c r="AZ456" s="109"/>
      <c r="BA456" s="109"/>
      <c r="BB456" s="109"/>
      <c r="BC456" s="109"/>
      <c r="BD456" s="109"/>
      <c r="BE456" s="109"/>
      <c r="BF456" s="109"/>
      <c r="BG456" s="109"/>
      <c r="BH456" s="109"/>
      <c r="BI456" s="109"/>
      <c r="BJ456" s="109"/>
      <c r="BK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63"/>
      <c r="J457" s="109"/>
      <c r="K457" s="109"/>
      <c r="L457" s="109"/>
      <c r="M457" s="109"/>
      <c r="N457" s="109"/>
      <c r="O457" s="164"/>
      <c r="P457" s="165"/>
      <c r="Q457" s="165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  <c r="AO457" s="109"/>
      <c r="AP457" s="109"/>
      <c r="AQ457" s="109"/>
      <c r="AR457" s="109"/>
      <c r="AS457" s="109"/>
      <c r="AT457" s="109"/>
      <c r="AU457" s="109"/>
      <c r="AV457" s="109"/>
      <c r="AW457" s="109"/>
      <c r="AX457" s="109"/>
      <c r="AY457" s="109"/>
      <c r="AZ457" s="109"/>
      <c r="BA457" s="109"/>
      <c r="BB457" s="109"/>
      <c r="BC457" s="109"/>
      <c r="BD457" s="109"/>
      <c r="BE457" s="109"/>
      <c r="BF457" s="109"/>
      <c r="BG457" s="109"/>
      <c r="BH457" s="109"/>
      <c r="BI457" s="109"/>
      <c r="BJ457" s="109"/>
      <c r="BK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63"/>
      <c r="J458" s="109"/>
      <c r="K458" s="109"/>
      <c r="L458" s="109"/>
      <c r="M458" s="109"/>
      <c r="N458" s="109"/>
      <c r="O458" s="164"/>
      <c r="P458" s="165"/>
      <c r="Q458" s="165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  <c r="AO458" s="109"/>
      <c r="AP458" s="109"/>
      <c r="AQ458" s="109"/>
      <c r="AR458" s="109"/>
      <c r="AS458" s="109"/>
      <c r="AT458" s="109"/>
      <c r="AU458" s="109"/>
      <c r="AV458" s="109"/>
      <c r="AW458" s="109"/>
      <c r="AX458" s="109"/>
      <c r="AY458" s="109"/>
      <c r="AZ458" s="109"/>
      <c r="BA458" s="109"/>
      <c r="BB458" s="109"/>
      <c r="BC458" s="109"/>
      <c r="BD458" s="109"/>
      <c r="BE458" s="109"/>
      <c r="BF458" s="109"/>
      <c r="BG458" s="109"/>
      <c r="BH458" s="109"/>
      <c r="BI458" s="109"/>
      <c r="BJ458" s="109"/>
      <c r="BK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63"/>
      <c r="J459" s="109"/>
      <c r="K459" s="109"/>
      <c r="L459" s="109"/>
      <c r="M459" s="109"/>
      <c r="N459" s="109"/>
      <c r="O459" s="164"/>
      <c r="P459" s="165"/>
      <c r="Q459" s="165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  <c r="AO459" s="109"/>
      <c r="AP459" s="109"/>
      <c r="AQ459" s="109"/>
      <c r="AR459" s="109"/>
      <c r="AS459" s="109"/>
      <c r="AT459" s="109"/>
      <c r="AU459" s="109"/>
      <c r="AV459" s="109"/>
      <c r="AW459" s="109"/>
      <c r="AX459" s="109"/>
      <c r="AY459" s="109"/>
      <c r="AZ459" s="109"/>
      <c r="BA459" s="109"/>
      <c r="BB459" s="109"/>
      <c r="BC459" s="109"/>
      <c r="BD459" s="109"/>
      <c r="BE459" s="109"/>
      <c r="BF459" s="109"/>
      <c r="BG459" s="109"/>
      <c r="BH459" s="109"/>
      <c r="BI459" s="109"/>
      <c r="BJ459" s="109"/>
      <c r="BK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63"/>
      <c r="J460" s="109"/>
      <c r="K460" s="109"/>
      <c r="L460" s="109"/>
      <c r="M460" s="109"/>
      <c r="N460" s="109"/>
      <c r="O460" s="164"/>
      <c r="P460" s="165"/>
      <c r="Q460" s="165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  <c r="AO460" s="109"/>
      <c r="AP460" s="109"/>
      <c r="AQ460" s="109"/>
      <c r="AR460" s="109"/>
      <c r="AS460" s="109"/>
      <c r="AT460" s="109"/>
      <c r="AU460" s="109"/>
      <c r="AV460" s="109"/>
      <c r="AW460" s="109"/>
      <c r="AX460" s="109"/>
      <c r="AY460" s="109"/>
      <c r="AZ460" s="109"/>
      <c r="BA460" s="109"/>
      <c r="BB460" s="109"/>
      <c r="BC460" s="109"/>
      <c r="BD460" s="109"/>
      <c r="BE460" s="109"/>
      <c r="BF460" s="109"/>
      <c r="BG460" s="109"/>
      <c r="BH460" s="109"/>
      <c r="BI460" s="109"/>
      <c r="BJ460" s="109"/>
      <c r="BK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63"/>
      <c r="J461" s="109"/>
      <c r="K461" s="109"/>
      <c r="L461" s="109"/>
      <c r="M461" s="109"/>
      <c r="N461" s="109"/>
      <c r="O461" s="164"/>
      <c r="P461" s="165"/>
      <c r="Q461" s="165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  <c r="AO461" s="109"/>
      <c r="AP461" s="109"/>
      <c r="AQ461" s="109"/>
      <c r="AR461" s="109"/>
      <c r="AS461" s="109"/>
      <c r="AT461" s="109"/>
      <c r="AU461" s="109"/>
      <c r="AV461" s="109"/>
      <c r="AW461" s="109"/>
      <c r="AX461" s="109"/>
      <c r="AY461" s="109"/>
      <c r="AZ461" s="109"/>
      <c r="BA461" s="109"/>
      <c r="BB461" s="109"/>
      <c r="BC461" s="109"/>
      <c r="BD461" s="109"/>
      <c r="BE461" s="109"/>
      <c r="BF461" s="109"/>
      <c r="BG461" s="109"/>
      <c r="BH461" s="109"/>
      <c r="BI461" s="109"/>
      <c r="BJ461" s="109"/>
      <c r="BK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63"/>
      <c r="J462" s="109"/>
      <c r="K462" s="109"/>
      <c r="L462" s="109"/>
      <c r="M462" s="109"/>
      <c r="N462" s="109"/>
      <c r="O462" s="164"/>
      <c r="P462" s="165"/>
      <c r="Q462" s="165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  <c r="AO462" s="109"/>
      <c r="AP462" s="109"/>
      <c r="AQ462" s="109"/>
      <c r="AR462" s="109"/>
      <c r="AS462" s="109"/>
      <c r="AT462" s="109"/>
      <c r="AU462" s="109"/>
      <c r="AV462" s="109"/>
      <c r="AW462" s="109"/>
      <c r="AX462" s="109"/>
      <c r="AY462" s="109"/>
      <c r="AZ462" s="109"/>
      <c r="BA462" s="109"/>
      <c r="BB462" s="109"/>
      <c r="BC462" s="109"/>
      <c r="BD462" s="109"/>
      <c r="BE462" s="109"/>
      <c r="BF462" s="109"/>
      <c r="BG462" s="109"/>
      <c r="BH462" s="109"/>
      <c r="BI462" s="109"/>
      <c r="BJ462" s="109"/>
      <c r="BK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63"/>
      <c r="J463" s="109"/>
      <c r="K463" s="109"/>
      <c r="L463" s="109"/>
      <c r="M463" s="109"/>
      <c r="N463" s="109"/>
      <c r="O463" s="164"/>
      <c r="P463" s="165"/>
      <c r="Q463" s="165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  <c r="AO463" s="109"/>
      <c r="AP463" s="109"/>
      <c r="AQ463" s="109"/>
      <c r="AR463" s="109"/>
      <c r="AS463" s="109"/>
      <c r="AT463" s="109"/>
      <c r="AU463" s="109"/>
      <c r="AV463" s="109"/>
      <c r="AW463" s="109"/>
      <c r="AX463" s="109"/>
      <c r="AY463" s="109"/>
      <c r="AZ463" s="109"/>
      <c r="BA463" s="109"/>
      <c r="BB463" s="109"/>
      <c r="BC463" s="109"/>
      <c r="BD463" s="109"/>
      <c r="BE463" s="109"/>
      <c r="BF463" s="109"/>
      <c r="BG463" s="109"/>
      <c r="BH463" s="109"/>
      <c r="BI463" s="109"/>
      <c r="BJ463" s="109"/>
      <c r="BK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63"/>
      <c r="J464" s="109"/>
      <c r="K464" s="109"/>
      <c r="L464" s="109"/>
      <c r="M464" s="109"/>
      <c r="N464" s="109"/>
      <c r="O464" s="164"/>
      <c r="P464" s="165"/>
      <c r="Q464" s="165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  <c r="AO464" s="109"/>
      <c r="AP464" s="109"/>
      <c r="AQ464" s="109"/>
      <c r="AR464" s="109"/>
      <c r="AS464" s="109"/>
      <c r="AT464" s="109"/>
      <c r="AU464" s="109"/>
      <c r="AV464" s="109"/>
      <c r="AW464" s="109"/>
      <c r="AX464" s="109"/>
      <c r="AY464" s="109"/>
      <c r="AZ464" s="109"/>
      <c r="BA464" s="109"/>
      <c r="BB464" s="109"/>
      <c r="BC464" s="109"/>
      <c r="BD464" s="109"/>
      <c r="BE464" s="109"/>
      <c r="BF464" s="109"/>
      <c r="BG464" s="109"/>
      <c r="BH464" s="109"/>
      <c r="BI464" s="109"/>
      <c r="BJ464" s="109"/>
      <c r="BK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63"/>
      <c r="J465" s="109"/>
      <c r="K465" s="109"/>
      <c r="L465" s="109"/>
      <c r="M465" s="109"/>
      <c r="N465" s="109"/>
      <c r="O465" s="164"/>
      <c r="P465" s="165"/>
      <c r="Q465" s="165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  <c r="AO465" s="109"/>
      <c r="AP465" s="109"/>
      <c r="AQ465" s="109"/>
      <c r="AR465" s="109"/>
      <c r="AS465" s="109"/>
      <c r="AT465" s="109"/>
      <c r="AU465" s="109"/>
      <c r="AV465" s="109"/>
      <c r="AW465" s="109"/>
      <c r="AX465" s="109"/>
      <c r="AY465" s="109"/>
      <c r="AZ465" s="109"/>
      <c r="BA465" s="109"/>
      <c r="BB465" s="109"/>
      <c r="BC465" s="109"/>
      <c r="BD465" s="109"/>
      <c r="BE465" s="109"/>
      <c r="BF465" s="109"/>
      <c r="BG465" s="109"/>
      <c r="BH465" s="109"/>
      <c r="BI465" s="109"/>
      <c r="BJ465" s="109"/>
      <c r="BK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63"/>
      <c r="J466" s="109"/>
      <c r="K466" s="109"/>
      <c r="L466" s="109"/>
      <c r="M466" s="109"/>
      <c r="N466" s="109"/>
      <c r="O466" s="164"/>
      <c r="P466" s="165"/>
      <c r="Q466" s="165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  <c r="AO466" s="109"/>
      <c r="AP466" s="109"/>
      <c r="AQ466" s="109"/>
      <c r="AR466" s="109"/>
      <c r="AS466" s="109"/>
      <c r="AT466" s="109"/>
      <c r="AU466" s="109"/>
      <c r="AV466" s="109"/>
      <c r="AW466" s="109"/>
      <c r="AX466" s="109"/>
      <c r="AY466" s="109"/>
      <c r="AZ466" s="109"/>
      <c r="BA466" s="109"/>
      <c r="BB466" s="109"/>
      <c r="BC466" s="109"/>
      <c r="BD466" s="109"/>
      <c r="BE466" s="109"/>
      <c r="BF466" s="109"/>
      <c r="BG466" s="109"/>
      <c r="BH466" s="109"/>
      <c r="BI466" s="109"/>
      <c r="BJ466" s="109"/>
      <c r="BK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63"/>
      <c r="J467" s="109"/>
      <c r="K467" s="109"/>
      <c r="L467" s="109"/>
      <c r="M467" s="109"/>
      <c r="N467" s="109"/>
      <c r="O467" s="164"/>
      <c r="P467" s="165"/>
      <c r="Q467" s="165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/>
      <c r="BJ467" s="109"/>
      <c r="BK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63"/>
      <c r="J468" s="109"/>
      <c r="K468" s="109"/>
      <c r="L468" s="109"/>
      <c r="M468" s="109"/>
      <c r="N468" s="109"/>
      <c r="O468" s="164"/>
      <c r="P468" s="165"/>
      <c r="Q468" s="165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Q468" s="109"/>
      <c r="AR468" s="109"/>
      <c r="AS468" s="109"/>
      <c r="AT468" s="109"/>
      <c r="AU468" s="109"/>
      <c r="AV468" s="109"/>
      <c r="AW468" s="109"/>
      <c r="AX468" s="109"/>
      <c r="AY468" s="109"/>
      <c r="AZ468" s="109"/>
      <c r="BA468" s="109"/>
      <c r="BB468" s="109"/>
      <c r="BC468" s="109"/>
      <c r="BD468" s="109"/>
      <c r="BE468" s="109"/>
      <c r="BF468" s="109"/>
      <c r="BG468" s="109"/>
      <c r="BH468" s="109"/>
      <c r="BI468" s="109"/>
      <c r="BJ468" s="109"/>
      <c r="BK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63"/>
      <c r="J469" s="109"/>
      <c r="K469" s="109"/>
      <c r="L469" s="109"/>
      <c r="M469" s="109"/>
      <c r="N469" s="109"/>
      <c r="O469" s="164"/>
      <c r="P469" s="165"/>
      <c r="Q469" s="165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/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63"/>
      <c r="J470" s="109"/>
      <c r="K470" s="109"/>
      <c r="L470" s="109"/>
      <c r="M470" s="109"/>
      <c r="N470" s="109"/>
      <c r="O470" s="164"/>
      <c r="P470" s="165"/>
      <c r="Q470" s="165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Q470" s="109"/>
      <c r="AR470" s="109"/>
      <c r="AS470" s="109"/>
      <c r="AT470" s="109"/>
      <c r="AU470" s="109"/>
      <c r="AV470" s="109"/>
      <c r="AW470" s="109"/>
      <c r="AX470" s="109"/>
      <c r="AY470" s="109"/>
      <c r="AZ470" s="109"/>
      <c r="BA470" s="109"/>
      <c r="BB470" s="109"/>
      <c r="BC470" s="109"/>
      <c r="BD470" s="109"/>
      <c r="BE470" s="109"/>
      <c r="BF470" s="109"/>
      <c r="BG470" s="109"/>
      <c r="BH470" s="109"/>
      <c r="BI470" s="109"/>
      <c r="BJ470" s="109"/>
      <c r="BK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63"/>
      <c r="J471" s="109"/>
      <c r="K471" s="109"/>
      <c r="L471" s="109"/>
      <c r="M471" s="109"/>
      <c r="N471" s="109"/>
      <c r="O471" s="164"/>
      <c r="P471" s="165"/>
      <c r="Q471" s="165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63"/>
      <c r="J472" s="109"/>
      <c r="K472" s="109"/>
      <c r="L472" s="109"/>
      <c r="M472" s="109"/>
      <c r="N472" s="109"/>
      <c r="O472" s="164"/>
      <c r="P472" s="165"/>
      <c r="Q472" s="165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Q472" s="109"/>
      <c r="AR472" s="109"/>
      <c r="AS472" s="109"/>
      <c r="AT472" s="109"/>
      <c r="AU472" s="109"/>
      <c r="AV472" s="109"/>
      <c r="AW472" s="109"/>
      <c r="AX472" s="109"/>
      <c r="AY472" s="109"/>
      <c r="AZ472" s="109"/>
      <c r="BA472" s="109"/>
      <c r="BB472" s="109"/>
      <c r="BC472" s="109"/>
      <c r="BD472" s="109"/>
      <c r="BE472" s="109"/>
      <c r="BF472" s="109"/>
      <c r="BG472" s="109"/>
      <c r="BH472" s="109"/>
      <c r="BI472" s="109"/>
      <c r="BJ472" s="109"/>
      <c r="BK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63"/>
      <c r="J473" s="109"/>
      <c r="K473" s="109"/>
      <c r="L473" s="109"/>
      <c r="M473" s="109"/>
      <c r="N473" s="109"/>
      <c r="O473" s="164"/>
      <c r="P473" s="165"/>
      <c r="Q473" s="165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/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63"/>
      <c r="J474" s="109"/>
      <c r="K474" s="109"/>
      <c r="L474" s="109"/>
      <c r="M474" s="109"/>
      <c r="N474" s="109"/>
      <c r="O474" s="164"/>
      <c r="P474" s="165"/>
      <c r="Q474" s="165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Q474" s="109"/>
      <c r="AR474" s="109"/>
      <c r="AS474" s="109"/>
      <c r="AT474" s="109"/>
      <c r="AU474" s="109"/>
      <c r="AV474" s="109"/>
      <c r="AW474" s="109"/>
      <c r="AX474" s="109"/>
      <c r="AY474" s="109"/>
      <c r="AZ474" s="109"/>
      <c r="BA474" s="109"/>
      <c r="BB474" s="109"/>
      <c r="BC474" s="109"/>
      <c r="BD474" s="109"/>
      <c r="BE474" s="109"/>
      <c r="BF474" s="109"/>
      <c r="BG474" s="109"/>
      <c r="BH474" s="109"/>
      <c r="BI474" s="109"/>
      <c r="BJ474" s="109"/>
      <c r="BK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63"/>
      <c r="J475" s="109"/>
      <c r="K475" s="109"/>
      <c r="L475" s="109"/>
      <c r="M475" s="109"/>
      <c r="N475" s="109"/>
      <c r="O475" s="164"/>
      <c r="P475" s="165"/>
      <c r="Q475" s="165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/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63"/>
      <c r="J476" s="109"/>
      <c r="K476" s="109"/>
      <c r="L476" s="109"/>
      <c r="M476" s="109"/>
      <c r="N476" s="109"/>
      <c r="O476" s="164"/>
      <c r="P476" s="165"/>
      <c r="Q476" s="165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Q476" s="109"/>
      <c r="AR476" s="109"/>
      <c r="AS476" s="109"/>
      <c r="AT476" s="109"/>
      <c r="AU476" s="109"/>
      <c r="AV476" s="109"/>
      <c r="AW476" s="109"/>
      <c r="AX476" s="109"/>
      <c r="AY476" s="109"/>
      <c r="AZ476" s="109"/>
      <c r="BA476" s="109"/>
      <c r="BB476" s="109"/>
      <c r="BC476" s="109"/>
      <c r="BD476" s="109"/>
      <c r="BE476" s="109"/>
      <c r="BF476" s="109"/>
      <c r="BG476" s="109"/>
      <c r="BH476" s="109"/>
      <c r="BI476" s="109"/>
      <c r="BJ476" s="109"/>
      <c r="BK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63"/>
      <c r="J477" s="109"/>
      <c r="K477" s="109"/>
      <c r="L477" s="109"/>
      <c r="M477" s="109"/>
      <c r="N477" s="109"/>
      <c r="O477" s="164"/>
      <c r="P477" s="165"/>
      <c r="Q477" s="165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/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63"/>
      <c r="J478" s="109"/>
      <c r="K478" s="109"/>
      <c r="L478" s="109"/>
      <c r="M478" s="109"/>
      <c r="N478" s="109"/>
      <c r="O478" s="164"/>
      <c r="P478" s="165"/>
      <c r="Q478" s="165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  <c r="AO478" s="109"/>
      <c r="AP478" s="109"/>
      <c r="AQ478" s="109"/>
      <c r="AR478" s="109"/>
      <c r="AS478" s="109"/>
      <c r="AT478" s="109"/>
      <c r="AU478" s="109"/>
      <c r="AV478" s="109"/>
      <c r="AW478" s="109"/>
      <c r="AX478" s="109"/>
      <c r="AY478" s="109"/>
      <c r="AZ478" s="109"/>
      <c r="BA478" s="109"/>
      <c r="BB478" s="109"/>
      <c r="BC478" s="109"/>
      <c r="BD478" s="109"/>
      <c r="BE478" s="109"/>
      <c r="BF478" s="109"/>
      <c r="BG478" s="109"/>
      <c r="BH478" s="109"/>
      <c r="BI478" s="109"/>
      <c r="BJ478" s="109"/>
      <c r="BK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63"/>
      <c r="J479" s="109"/>
      <c r="K479" s="109"/>
      <c r="L479" s="109"/>
      <c r="M479" s="109"/>
      <c r="N479" s="109"/>
      <c r="O479" s="164"/>
      <c r="P479" s="165"/>
      <c r="Q479" s="165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/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63"/>
      <c r="J480" s="109"/>
      <c r="K480" s="109"/>
      <c r="L480" s="109"/>
      <c r="M480" s="109"/>
      <c r="N480" s="109"/>
      <c r="O480" s="164"/>
      <c r="P480" s="165"/>
      <c r="Q480" s="165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109"/>
      <c r="AR480" s="109"/>
      <c r="AS480" s="109"/>
      <c r="AT480" s="109"/>
      <c r="AU480" s="109"/>
      <c r="AV480" s="109"/>
      <c r="AW480" s="109"/>
      <c r="AX480" s="109"/>
      <c r="AY480" s="109"/>
      <c r="AZ480" s="109"/>
      <c r="BA480" s="109"/>
      <c r="BB480" s="109"/>
      <c r="BC480" s="109"/>
      <c r="BD480" s="109"/>
      <c r="BE480" s="109"/>
      <c r="BF480" s="109"/>
      <c r="BG480" s="109"/>
      <c r="BH480" s="109"/>
      <c r="BI480" s="109"/>
      <c r="BJ480" s="109"/>
      <c r="BK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63"/>
      <c r="J481" s="109"/>
      <c r="K481" s="109"/>
      <c r="L481" s="109"/>
      <c r="M481" s="109"/>
      <c r="N481" s="109"/>
      <c r="O481" s="164"/>
      <c r="P481" s="165"/>
      <c r="Q481" s="165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/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63"/>
      <c r="J482" s="109"/>
      <c r="K482" s="109"/>
      <c r="L482" s="109"/>
      <c r="M482" s="109"/>
      <c r="N482" s="109"/>
      <c r="O482" s="164"/>
      <c r="P482" s="165"/>
      <c r="Q482" s="165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Q482" s="109"/>
      <c r="AR482" s="109"/>
      <c r="AS482" s="109"/>
      <c r="AT482" s="109"/>
      <c r="AU482" s="109"/>
      <c r="AV482" s="109"/>
      <c r="AW482" s="109"/>
      <c r="AX482" s="109"/>
      <c r="AY482" s="109"/>
      <c r="AZ482" s="109"/>
      <c r="BA482" s="109"/>
      <c r="BB482" s="109"/>
      <c r="BC482" s="109"/>
      <c r="BD482" s="109"/>
      <c r="BE482" s="109"/>
      <c r="BF482" s="109"/>
      <c r="BG482" s="109"/>
      <c r="BH482" s="109"/>
      <c r="BI482" s="109"/>
      <c r="BJ482" s="109"/>
      <c r="BK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63"/>
      <c r="J483" s="109"/>
      <c r="K483" s="109"/>
      <c r="L483" s="109"/>
      <c r="M483" s="109"/>
      <c r="N483" s="109"/>
      <c r="O483" s="164"/>
      <c r="P483" s="165"/>
      <c r="Q483" s="165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/>
      <c r="BJ483" s="109"/>
      <c r="BK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63"/>
      <c r="J484" s="109"/>
      <c r="K484" s="109"/>
      <c r="L484" s="109"/>
      <c r="M484" s="109"/>
      <c r="N484" s="109"/>
      <c r="O484" s="164"/>
      <c r="P484" s="165"/>
      <c r="Q484" s="165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  <c r="AO484" s="109"/>
      <c r="AP484" s="109"/>
      <c r="AQ484" s="109"/>
      <c r="AR484" s="109"/>
      <c r="AS484" s="109"/>
      <c r="AT484" s="109"/>
      <c r="AU484" s="109"/>
      <c r="AV484" s="109"/>
      <c r="AW484" s="109"/>
      <c r="AX484" s="109"/>
      <c r="AY484" s="109"/>
      <c r="AZ484" s="109"/>
      <c r="BA484" s="109"/>
      <c r="BB484" s="109"/>
      <c r="BC484" s="109"/>
      <c r="BD484" s="109"/>
      <c r="BE484" s="109"/>
      <c r="BF484" s="109"/>
      <c r="BG484" s="109"/>
      <c r="BH484" s="109"/>
      <c r="BI484" s="109"/>
      <c r="BJ484" s="109"/>
      <c r="BK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63"/>
      <c r="J485" s="109"/>
      <c r="K485" s="109"/>
      <c r="L485" s="109"/>
      <c r="M485" s="109"/>
      <c r="N485" s="109"/>
      <c r="O485" s="164"/>
      <c r="P485" s="165"/>
      <c r="Q485" s="165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/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63"/>
      <c r="J486" s="109"/>
      <c r="K486" s="109"/>
      <c r="L486" s="109"/>
      <c r="M486" s="109"/>
      <c r="N486" s="109"/>
      <c r="O486" s="164"/>
      <c r="P486" s="165"/>
      <c r="Q486" s="165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109"/>
      <c r="AR486" s="109"/>
      <c r="AS486" s="109"/>
      <c r="AT486" s="109"/>
      <c r="AU486" s="109"/>
      <c r="AV486" s="109"/>
      <c r="AW486" s="109"/>
      <c r="AX486" s="109"/>
      <c r="AY486" s="109"/>
      <c r="AZ486" s="109"/>
      <c r="BA486" s="109"/>
      <c r="BB486" s="109"/>
      <c r="BC486" s="109"/>
      <c r="BD486" s="109"/>
      <c r="BE486" s="109"/>
      <c r="BF486" s="109"/>
      <c r="BG486" s="109"/>
      <c r="BH486" s="109"/>
      <c r="BI486" s="109"/>
      <c r="BJ486" s="109"/>
      <c r="BK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63"/>
      <c r="J487" s="109"/>
      <c r="K487" s="109"/>
      <c r="L487" s="109"/>
      <c r="M487" s="109"/>
      <c r="N487" s="109"/>
      <c r="O487" s="164"/>
      <c r="P487" s="165"/>
      <c r="Q487" s="165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/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63"/>
      <c r="J488" s="109"/>
      <c r="K488" s="109"/>
      <c r="L488" s="109"/>
      <c r="M488" s="109"/>
      <c r="N488" s="109"/>
      <c r="O488" s="164"/>
      <c r="P488" s="165"/>
      <c r="Q488" s="165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109"/>
      <c r="AR488" s="109"/>
      <c r="AS488" s="109"/>
      <c r="AT488" s="109"/>
      <c r="AU488" s="109"/>
      <c r="AV488" s="109"/>
      <c r="AW488" s="109"/>
      <c r="AX488" s="109"/>
      <c r="AY488" s="109"/>
      <c r="AZ488" s="109"/>
      <c r="BA488" s="109"/>
      <c r="BB488" s="109"/>
      <c r="BC488" s="109"/>
      <c r="BD488" s="109"/>
      <c r="BE488" s="109"/>
      <c r="BF488" s="109"/>
      <c r="BG488" s="109"/>
      <c r="BH488" s="109"/>
      <c r="BI488" s="109"/>
      <c r="BJ488" s="109"/>
      <c r="BK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63"/>
      <c r="J489" s="109"/>
      <c r="K489" s="109"/>
      <c r="L489" s="109"/>
      <c r="M489" s="109"/>
      <c r="N489" s="109"/>
      <c r="O489" s="164"/>
      <c r="P489" s="165"/>
      <c r="Q489" s="165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/>
      <c r="BF489" s="109"/>
      <c r="BG489" s="109"/>
      <c r="BH489" s="109"/>
      <c r="BI489" s="109"/>
      <c r="BJ489" s="109"/>
      <c r="BK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63"/>
      <c r="J490" s="109"/>
      <c r="K490" s="109"/>
      <c r="L490" s="109"/>
      <c r="M490" s="109"/>
      <c r="N490" s="109"/>
      <c r="O490" s="164"/>
      <c r="P490" s="165"/>
      <c r="Q490" s="165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Q490" s="109"/>
      <c r="AR490" s="109"/>
      <c r="AS490" s="109"/>
      <c r="AT490" s="109"/>
      <c r="AU490" s="109"/>
      <c r="AV490" s="109"/>
      <c r="AW490" s="109"/>
      <c r="AX490" s="109"/>
      <c r="AY490" s="109"/>
      <c r="AZ490" s="109"/>
      <c r="BA490" s="109"/>
      <c r="BB490" s="109"/>
      <c r="BC490" s="109"/>
      <c r="BD490" s="109"/>
      <c r="BE490" s="109"/>
      <c r="BF490" s="109"/>
      <c r="BG490" s="109"/>
      <c r="BH490" s="109"/>
      <c r="BI490" s="109"/>
      <c r="BJ490" s="109"/>
      <c r="BK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63"/>
      <c r="J491" s="109"/>
      <c r="K491" s="109"/>
      <c r="L491" s="109"/>
      <c r="M491" s="109"/>
      <c r="N491" s="109"/>
      <c r="O491" s="164"/>
      <c r="P491" s="165"/>
      <c r="Q491" s="165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/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63"/>
      <c r="J492" s="109"/>
      <c r="K492" s="109"/>
      <c r="L492" s="109"/>
      <c r="M492" s="109"/>
      <c r="N492" s="109"/>
      <c r="O492" s="164"/>
      <c r="P492" s="165"/>
      <c r="Q492" s="165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Q492" s="109"/>
      <c r="AR492" s="109"/>
      <c r="AS492" s="109"/>
      <c r="AT492" s="109"/>
      <c r="AU492" s="109"/>
      <c r="AV492" s="109"/>
      <c r="AW492" s="109"/>
      <c r="AX492" s="109"/>
      <c r="AY492" s="109"/>
      <c r="AZ492" s="109"/>
      <c r="BA492" s="109"/>
      <c r="BB492" s="109"/>
      <c r="BC492" s="109"/>
      <c r="BD492" s="109"/>
      <c r="BE492" s="109"/>
      <c r="BF492" s="109"/>
      <c r="BG492" s="109"/>
      <c r="BH492" s="109"/>
      <c r="BI492" s="109"/>
      <c r="BJ492" s="109"/>
      <c r="BK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63"/>
      <c r="J493" s="109"/>
      <c r="K493" s="109"/>
      <c r="L493" s="109"/>
      <c r="M493" s="109"/>
      <c r="N493" s="109"/>
      <c r="O493" s="164"/>
      <c r="P493" s="165"/>
      <c r="Q493" s="165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/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63"/>
      <c r="J494" s="109"/>
      <c r="K494" s="109"/>
      <c r="L494" s="109"/>
      <c r="M494" s="109"/>
      <c r="N494" s="109"/>
      <c r="O494" s="164"/>
      <c r="P494" s="165"/>
      <c r="Q494" s="165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Q494" s="109"/>
      <c r="AR494" s="109"/>
      <c r="AS494" s="109"/>
      <c r="AT494" s="109"/>
      <c r="AU494" s="109"/>
      <c r="AV494" s="109"/>
      <c r="AW494" s="109"/>
      <c r="AX494" s="109"/>
      <c r="AY494" s="109"/>
      <c r="AZ494" s="109"/>
      <c r="BA494" s="109"/>
      <c r="BB494" s="109"/>
      <c r="BC494" s="109"/>
      <c r="BD494" s="109"/>
      <c r="BE494" s="109"/>
      <c r="BF494" s="109"/>
      <c r="BG494" s="109"/>
      <c r="BH494" s="109"/>
      <c r="BI494" s="109"/>
      <c r="BJ494" s="109"/>
      <c r="BK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63"/>
      <c r="J495" s="109"/>
      <c r="K495" s="109"/>
      <c r="L495" s="109"/>
      <c r="M495" s="109"/>
      <c r="N495" s="109"/>
      <c r="O495" s="164"/>
      <c r="P495" s="165"/>
      <c r="Q495" s="165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/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63"/>
      <c r="J496" s="109"/>
      <c r="K496" s="109"/>
      <c r="L496" s="109"/>
      <c r="M496" s="109"/>
      <c r="N496" s="109"/>
      <c r="O496" s="164"/>
      <c r="P496" s="165"/>
      <c r="Q496" s="165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Q496" s="109"/>
      <c r="AR496" s="109"/>
      <c r="AS496" s="109"/>
      <c r="AT496" s="109"/>
      <c r="AU496" s="109"/>
      <c r="AV496" s="109"/>
      <c r="AW496" s="109"/>
      <c r="AX496" s="109"/>
      <c r="AY496" s="109"/>
      <c r="AZ496" s="109"/>
      <c r="BA496" s="109"/>
      <c r="BB496" s="109"/>
      <c r="BC496" s="109"/>
      <c r="BD496" s="109"/>
      <c r="BE496" s="109"/>
      <c r="BF496" s="109"/>
      <c r="BG496" s="109"/>
      <c r="BH496" s="109"/>
      <c r="BI496" s="109"/>
      <c r="BJ496" s="109"/>
      <c r="BK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63"/>
      <c r="J497" s="109"/>
      <c r="K497" s="109"/>
      <c r="L497" s="109"/>
      <c r="M497" s="109"/>
      <c r="N497" s="109"/>
      <c r="O497" s="164"/>
      <c r="P497" s="165"/>
      <c r="Q497" s="165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/>
      <c r="AT497" s="109"/>
      <c r="AU497" s="109"/>
      <c r="AV497" s="109"/>
      <c r="AW497" s="109"/>
      <c r="AX497" s="109"/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/>
      <c r="BJ497" s="109"/>
      <c r="BK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63"/>
      <c r="J498" s="109"/>
      <c r="K498" s="109"/>
      <c r="L498" s="109"/>
      <c r="M498" s="109"/>
      <c r="N498" s="109"/>
      <c r="O498" s="164"/>
      <c r="P498" s="165"/>
      <c r="Q498" s="165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Q498" s="109"/>
      <c r="AR498" s="109"/>
      <c r="AS498" s="109"/>
      <c r="AT498" s="109"/>
      <c r="AU498" s="109"/>
      <c r="AV498" s="109"/>
      <c r="AW498" s="109"/>
      <c r="AX498" s="109"/>
      <c r="AY498" s="109"/>
      <c r="AZ498" s="109"/>
      <c r="BA498" s="109"/>
      <c r="BB498" s="109"/>
      <c r="BC498" s="109"/>
      <c r="BD498" s="109"/>
      <c r="BE498" s="109"/>
      <c r="BF498" s="109"/>
      <c r="BG498" s="109"/>
      <c r="BH498" s="109"/>
      <c r="BI498" s="109"/>
      <c r="BJ498" s="109"/>
      <c r="BK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63"/>
      <c r="J499" s="109"/>
      <c r="K499" s="109"/>
      <c r="L499" s="109"/>
      <c r="M499" s="109"/>
      <c r="N499" s="109"/>
      <c r="O499" s="164"/>
      <c r="P499" s="165"/>
      <c r="Q499" s="165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/>
      <c r="AU499" s="109"/>
      <c r="AV499" s="109"/>
      <c r="AW499" s="109"/>
      <c r="AX499" s="109"/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/>
      <c r="BK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63"/>
      <c r="J500" s="109"/>
      <c r="K500" s="109"/>
      <c r="L500" s="109"/>
      <c r="M500" s="109"/>
      <c r="N500" s="109"/>
      <c r="O500" s="164"/>
      <c r="P500" s="165"/>
      <c r="Q500" s="165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Q500" s="109"/>
      <c r="AR500" s="109"/>
      <c r="AS500" s="109"/>
      <c r="AT500" s="109"/>
      <c r="AU500" s="109"/>
      <c r="AV500" s="109"/>
      <c r="AW500" s="109"/>
      <c r="AX500" s="109"/>
      <c r="AY500" s="109"/>
      <c r="AZ500" s="109"/>
      <c r="BA500" s="109"/>
      <c r="BB500" s="109"/>
      <c r="BC500" s="109"/>
      <c r="BD500" s="109"/>
      <c r="BE500" s="109"/>
      <c r="BF500" s="109"/>
      <c r="BG500" s="109"/>
      <c r="BH500" s="109"/>
      <c r="BI500" s="109"/>
      <c r="BJ500" s="109"/>
      <c r="BK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63"/>
      <c r="J501" s="109"/>
      <c r="K501" s="109"/>
      <c r="L501" s="109"/>
      <c r="M501" s="109"/>
      <c r="N501" s="109"/>
      <c r="O501" s="164"/>
      <c r="P501" s="165"/>
      <c r="Q501" s="165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/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63"/>
      <c r="J502" s="109"/>
      <c r="K502" s="109"/>
      <c r="L502" s="109"/>
      <c r="M502" s="109"/>
      <c r="N502" s="109"/>
      <c r="O502" s="164"/>
      <c r="P502" s="165"/>
      <c r="Q502" s="165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Q502" s="109"/>
      <c r="AR502" s="109"/>
      <c r="AS502" s="109"/>
      <c r="AT502" s="109"/>
      <c r="AU502" s="109"/>
      <c r="AV502" s="109"/>
      <c r="AW502" s="109"/>
      <c r="AX502" s="109"/>
      <c r="AY502" s="109"/>
      <c r="AZ502" s="109"/>
      <c r="BA502" s="109"/>
      <c r="BB502" s="109"/>
      <c r="BC502" s="109"/>
      <c r="BD502" s="109"/>
      <c r="BE502" s="109"/>
      <c r="BF502" s="109"/>
      <c r="BG502" s="109"/>
      <c r="BH502" s="109"/>
      <c r="BI502" s="109"/>
      <c r="BJ502" s="109"/>
      <c r="BK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63"/>
      <c r="J503" s="109"/>
      <c r="K503" s="109"/>
      <c r="L503" s="109"/>
      <c r="M503" s="109"/>
      <c r="N503" s="109"/>
      <c r="O503" s="164"/>
      <c r="P503" s="165"/>
      <c r="Q503" s="165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/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63"/>
      <c r="J504" s="109"/>
      <c r="K504" s="109"/>
      <c r="L504" s="109"/>
      <c r="M504" s="109"/>
      <c r="N504" s="109"/>
      <c r="O504" s="164"/>
      <c r="P504" s="165"/>
      <c r="Q504" s="165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Q504" s="109"/>
      <c r="AR504" s="109"/>
      <c r="AS504" s="109"/>
      <c r="AT504" s="109"/>
      <c r="AU504" s="109"/>
      <c r="AV504" s="109"/>
      <c r="AW504" s="109"/>
      <c r="AX504" s="109"/>
      <c r="AY504" s="109"/>
      <c r="AZ504" s="109"/>
      <c r="BA504" s="109"/>
      <c r="BB504" s="109"/>
      <c r="BC504" s="109"/>
      <c r="BD504" s="109"/>
      <c r="BE504" s="109"/>
      <c r="BF504" s="109"/>
      <c r="BG504" s="109"/>
      <c r="BH504" s="109"/>
      <c r="BI504" s="109"/>
      <c r="BJ504" s="109"/>
      <c r="BK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63"/>
      <c r="J505" s="109"/>
      <c r="K505" s="109"/>
      <c r="L505" s="109"/>
      <c r="M505" s="109"/>
      <c r="N505" s="109"/>
      <c r="O505" s="164"/>
      <c r="P505" s="165"/>
      <c r="Q505" s="165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/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63"/>
      <c r="J506" s="109"/>
      <c r="K506" s="109"/>
      <c r="L506" s="109"/>
      <c r="M506" s="109"/>
      <c r="N506" s="109"/>
      <c r="O506" s="164"/>
      <c r="P506" s="165"/>
      <c r="Q506" s="165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Q506" s="109"/>
      <c r="AR506" s="109"/>
      <c r="AS506" s="109"/>
      <c r="AT506" s="109"/>
      <c r="AU506" s="109"/>
      <c r="AV506" s="109"/>
      <c r="AW506" s="109"/>
      <c r="AX506" s="109"/>
      <c r="AY506" s="109"/>
      <c r="AZ506" s="109"/>
      <c r="BA506" s="109"/>
      <c r="BB506" s="109"/>
      <c r="BC506" s="109"/>
      <c r="BD506" s="109"/>
      <c r="BE506" s="109"/>
      <c r="BF506" s="109"/>
      <c r="BG506" s="109"/>
      <c r="BH506" s="109"/>
      <c r="BI506" s="109"/>
      <c r="BJ506" s="109"/>
      <c r="BK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63"/>
      <c r="J507" s="109"/>
      <c r="K507" s="109"/>
      <c r="L507" s="109"/>
      <c r="M507" s="109"/>
      <c r="N507" s="109"/>
      <c r="O507" s="164"/>
      <c r="P507" s="165"/>
      <c r="Q507" s="165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63"/>
      <c r="J508" s="109"/>
      <c r="K508" s="109"/>
      <c r="L508" s="109"/>
      <c r="M508" s="109"/>
      <c r="N508" s="109"/>
      <c r="O508" s="164"/>
      <c r="P508" s="165"/>
      <c r="Q508" s="165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  <c r="AO508" s="109"/>
      <c r="AP508" s="109"/>
      <c r="AQ508" s="109"/>
      <c r="AR508" s="109"/>
      <c r="AS508" s="109"/>
      <c r="AT508" s="109"/>
      <c r="AU508" s="109"/>
      <c r="AV508" s="109"/>
      <c r="AW508" s="109"/>
      <c r="AX508" s="109"/>
      <c r="AY508" s="109"/>
      <c r="AZ508" s="109"/>
      <c r="BA508" s="109"/>
      <c r="BB508" s="109"/>
      <c r="BC508" s="109"/>
      <c r="BD508" s="109"/>
      <c r="BE508" s="109"/>
      <c r="BF508" s="109"/>
      <c r="BG508" s="109"/>
      <c r="BH508" s="109"/>
      <c r="BI508" s="109"/>
      <c r="BJ508" s="109"/>
      <c r="BK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63"/>
      <c r="J509" s="109"/>
      <c r="K509" s="109"/>
      <c r="L509" s="109"/>
      <c r="M509" s="109"/>
      <c r="N509" s="109"/>
      <c r="O509" s="164"/>
      <c r="P509" s="165"/>
      <c r="Q509" s="165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63"/>
      <c r="J510" s="109"/>
      <c r="K510" s="109"/>
      <c r="L510" s="109"/>
      <c r="M510" s="109"/>
      <c r="N510" s="109"/>
      <c r="O510" s="164"/>
      <c r="P510" s="165"/>
      <c r="Q510" s="165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109"/>
      <c r="AR510" s="109"/>
      <c r="AS510" s="109"/>
      <c r="AT510" s="109"/>
      <c r="AU510" s="109"/>
      <c r="AV510" s="109"/>
      <c r="AW510" s="109"/>
      <c r="AX510" s="109"/>
      <c r="AY510" s="109"/>
      <c r="AZ510" s="109"/>
      <c r="BA510" s="109"/>
      <c r="BB510" s="109"/>
      <c r="BC510" s="109"/>
      <c r="BD510" s="109"/>
      <c r="BE510" s="109"/>
      <c r="BF510" s="109"/>
      <c r="BG510" s="109"/>
      <c r="BH510" s="109"/>
      <c r="BI510" s="109"/>
      <c r="BJ510" s="109"/>
      <c r="BK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63"/>
      <c r="J511" s="109"/>
      <c r="K511" s="109"/>
      <c r="L511" s="109"/>
      <c r="M511" s="109"/>
      <c r="N511" s="109"/>
      <c r="O511" s="164"/>
      <c r="P511" s="165"/>
      <c r="Q511" s="165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/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63"/>
      <c r="J512" s="109"/>
      <c r="K512" s="109"/>
      <c r="L512" s="109"/>
      <c r="M512" s="109"/>
      <c r="N512" s="109"/>
      <c r="O512" s="164"/>
      <c r="P512" s="165"/>
      <c r="Q512" s="165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Q512" s="109"/>
      <c r="AR512" s="109"/>
      <c r="AS512" s="109"/>
      <c r="AT512" s="109"/>
      <c r="AU512" s="109"/>
      <c r="AV512" s="109"/>
      <c r="AW512" s="109"/>
      <c r="AX512" s="109"/>
      <c r="AY512" s="109"/>
      <c r="AZ512" s="109"/>
      <c r="BA512" s="109"/>
      <c r="BB512" s="109"/>
      <c r="BC512" s="109"/>
      <c r="BD512" s="109"/>
      <c r="BE512" s="109"/>
      <c r="BF512" s="109"/>
      <c r="BG512" s="109"/>
      <c r="BH512" s="109"/>
      <c r="BI512" s="109"/>
      <c r="BJ512" s="109"/>
      <c r="BK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63"/>
      <c r="J513" s="109"/>
      <c r="K513" s="109"/>
      <c r="L513" s="109"/>
      <c r="M513" s="109"/>
      <c r="N513" s="109"/>
      <c r="O513" s="164"/>
      <c r="P513" s="165"/>
      <c r="Q513" s="165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109"/>
      <c r="AR513" s="109"/>
      <c r="AS513" s="109"/>
      <c r="AT513" s="109"/>
      <c r="AU513" s="109"/>
      <c r="AV513" s="109"/>
      <c r="AW513" s="109"/>
      <c r="AX513" s="109"/>
      <c r="AY513" s="109"/>
      <c r="AZ513" s="109"/>
      <c r="BA513" s="109"/>
      <c r="BB513" s="109"/>
      <c r="BC513" s="109"/>
      <c r="BD513" s="109"/>
      <c r="BE513" s="109"/>
      <c r="BF513" s="109"/>
      <c r="BG513" s="109"/>
      <c r="BH513" s="109"/>
      <c r="BI513" s="109"/>
      <c r="BJ513" s="109"/>
      <c r="BK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63"/>
      <c r="J514" s="109"/>
      <c r="K514" s="109"/>
      <c r="L514" s="109"/>
      <c r="M514" s="109"/>
      <c r="N514" s="109"/>
      <c r="O514" s="164"/>
      <c r="P514" s="165"/>
      <c r="Q514" s="165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Q514" s="109"/>
      <c r="AR514" s="109"/>
      <c r="AS514" s="109"/>
      <c r="AT514" s="109"/>
      <c r="AU514" s="109"/>
      <c r="AV514" s="109"/>
      <c r="AW514" s="109"/>
      <c r="AX514" s="109"/>
      <c r="AY514" s="109"/>
      <c r="AZ514" s="109"/>
      <c r="BA514" s="109"/>
      <c r="BB514" s="109"/>
      <c r="BC514" s="109"/>
      <c r="BD514" s="109"/>
      <c r="BE514" s="109"/>
      <c r="BF514" s="109"/>
      <c r="BG514" s="109"/>
      <c r="BH514" s="109"/>
      <c r="BI514" s="109"/>
      <c r="BJ514" s="109"/>
      <c r="BK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63"/>
      <c r="J515" s="109"/>
      <c r="K515" s="109"/>
      <c r="L515" s="109"/>
      <c r="M515" s="109"/>
      <c r="N515" s="109"/>
      <c r="O515" s="164"/>
      <c r="P515" s="165"/>
      <c r="Q515" s="165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  <c r="AO515" s="109"/>
      <c r="AP515" s="109"/>
      <c r="AQ515" s="109"/>
      <c r="AR515" s="109"/>
      <c r="AS515" s="109"/>
      <c r="AT515" s="109"/>
      <c r="AU515" s="109"/>
      <c r="AV515" s="109"/>
      <c r="AW515" s="109"/>
      <c r="AX515" s="109"/>
      <c r="AY515" s="109"/>
      <c r="AZ515" s="109"/>
      <c r="BA515" s="109"/>
      <c r="BB515" s="109"/>
      <c r="BC515" s="109"/>
      <c r="BD515" s="109"/>
      <c r="BE515" s="109"/>
      <c r="BF515" s="109"/>
      <c r="BG515" s="109"/>
      <c r="BH515" s="109"/>
      <c r="BI515" s="109"/>
      <c r="BJ515" s="109"/>
      <c r="BK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63"/>
      <c r="J516" s="109"/>
      <c r="K516" s="109"/>
      <c r="L516" s="109"/>
      <c r="M516" s="109"/>
      <c r="N516" s="109"/>
      <c r="O516" s="164"/>
      <c r="P516" s="165"/>
      <c r="Q516" s="165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109"/>
      <c r="AR516" s="109"/>
      <c r="AS516" s="109"/>
      <c r="AT516" s="109"/>
      <c r="AU516" s="109"/>
      <c r="AV516" s="109"/>
      <c r="AW516" s="109"/>
      <c r="AX516" s="109"/>
      <c r="AY516" s="109"/>
      <c r="AZ516" s="109"/>
      <c r="BA516" s="109"/>
      <c r="BB516" s="109"/>
      <c r="BC516" s="109"/>
      <c r="BD516" s="109"/>
      <c r="BE516" s="109"/>
      <c r="BF516" s="109"/>
      <c r="BG516" s="109"/>
      <c r="BH516" s="109"/>
      <c r="BI516" s="109"/>
      <c r="BJ516" s="109"/>
      <c r="BK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63"/>
      <c r="J517" s="109"/>
      <c r="K517" s="109"/>
      <c r="L517" s="109"/>
      <c r="M517" s="109"/>
      <c r="N517" s="109"/>
      <c r="O517" s="164"/>
      <c r="P517" s="165"/>
      <c r="Q517" s="165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109"/>
      <c r="AR517" s="109"/>
      <c r="AS517" s="109"/>
      <c r="AT517" s="109"/>
      <c r="AU517" s="109"/>
      <c r="AV517" s="109"/>
      <c r="AW517" s="109"/>
      <c r="AX517" s="109"/>
      <c r="AY517" s="109"/>
      <c r="AZ517" s="109"/>
      <c r="BA517" s="109"/>
      <c r="BB517" s="109"/>
      <c r="BC517" s="109"/>
      <c r="BD517" s="109"/>
      <c r="BE517" s="109"/>
      <c r="BF517" s="109"/>
      <c r="BG517" s="109"/>
      <c r="BH517" s="109"/>
      <c r="BI517" s="109"/>
      <c r="BJ517" s="109"/>
      <c r="BK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63"/>
      <c r="J518" s="109"/>
      <c r="K518" s="109"/>
      <c r="L518" s="109"/>
      <c r="M518" s="109"/>
      <c r="N518" s="109"/>
      <c r="O518" s="164"/>
      <c r="P518" s="165"/>
      <c r="Q518" s="165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Q518" s="109"/>
      <c r="AR518" s="109"/>
      <c r="AS518" s="109"/>
      <c r="AT518" s="109"/>
      <c r="AU518" s="109"/>
      <c r="AV518" s="109"/>
      <c r="AW518" s="109"/>
      <c r="AX518" s="109"/>
      <c r="AY518" s="109"/>
      <c r="AZ518" s="109"/>
      <c r="BA518" s="109"/>
      <c r="BB518" s="109"/>
      <c r="BC518" s="109"/>
      <c r="BD518" s="109"/>
      <c r="BE518" s="109"/>
      <c r="BF518" s="109"/>
      <c r="BG518" s="109"/>
      <c r="BH518" s="109"/>
      <c r="BI518" s="109"/>
      <c r="BJ518" s="109"/>
      <c r="BK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63"/>
      <c r="J519" s="109"/>
      <c r="K519" s="109"/>
      <c r="L519" s="109"/>
      <c r="M519" s="109"/>
      <c r="N519" s="109"/>
      <c r="O519" s="164"/>
      <c r="P519" s="165"/>
      <c r="Q519" s="165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  <c r="AO519" s="109"/>
      <c r="AP519" s="109"/>
      <c r="AQ519" s="109"/>
      <c r="AR519" s="109"/>
      <c r="AS519" s="109"/>
      <c r="AT519" s="109"/>
      <c r="AU519" s="109"/>
      <c r="AV519" s="109"/>
      <c r="AW519" s="109"/>
      <c r="AX519" s="109"/>
      <c r="AY519" s="109"/>
      <c r="AZ519" s="109"/>
      <c r="BA519" s="109"/>
      <c r="BB519" s="109"/>
      <c r="BC519" s="109"/>
      <c r="BD519" s="109"/>
      <c r="BE519" s="109"/>
      <c r="BF519" s="109"/>
      <c r="BG519" s="109"/>
      <c r="BH519" s="109"/>
      <c r="BI519" s="109"/>
      <c r="BJ519" s="109"/>
      <c r="BK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63"/>
      <c r="J520" s="109"/>
      <c r="K520" s="109"/>
      <c r="L520" s="109"/>
      <c r="M520" s="109"/>
      <c r="N520" s="109"/>
      <c r="O520" s="164"/>
      <c r="P520" s="165"/>
      <c r="Q520" s="165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  <c r="AO520" s="109"/>
      <c r="AP520" s="109"/>
      <c r="AQ520" s="109"/>
      <c r="AR520" s="109"/>
      <c r="AS520" s="109"/>
      <c r="AT520" s="109"/>
      <c r="AU520" s="109"/>
      <c r="AV520" s="109"/>
      <c r="AW520" s="109"/>
      <c r="AX520" s="109"/>
      <c r="AY520" s="109"/>
      <c r="AZ520" s="109"/>
      <c r="BA520" s="109"/>
      <c r="BB520" s="109"/>
      <c r="BC520" s="109"/>
      <c r="BD520" s="109"/>
      <c r="BE520" s="109"/>
      <c r="BF520" s="109"/>
      <c r="BG520" s="109"/>
      <c r="BH520" s="109"/>
      <c r="BI520" s="109"/>
      <c r="BJ520" s="109"/>
      <c r="BK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63"/>
      <c r="J521" s="109"/>
      <c r="K521" s="109"/>
      <c r="L521" s="109"/>
      <c r="M521" s="109"/>
      <c r="N521" s="109"/>
      <c r="O521" s="164"/>
      <c r="P521" s="165"/>
      <c r="Q521" s="165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  <c r="AO521" s="109"/>
      <c r="AP521" s="109"/>
      <c r="AQ521" s="109"/>
      <c r="AR521" s="109"/>
      <c r="AS521" s="109"/>
      <c r="AT521" s="109"/>
      <c r="AU521" s="109"/>
      <c r="AV521" s="109"/>
      <c r="AW521" s="109"/>
      <c r="AX521" s="109"/>
      <c r="AY521" s="109"/>
      <c r="AZ521" s="109"/>
      <c r="BA521" s="109"/>
      <c r="BB521" s="109"/>
      <c r="BC521" s="109"/>
      <c r="BD521" s="109"/>
      <c r="BE521" s="109"/>
      <c r="BF521" s="109"/>
      <c r="BG521" s="109"/>
      <c r="BH521" s="109"/>
      <c r="BI521" s="109"/>
      <c r="BJ521" s="109"/>
      <c r="BK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63"/>
      <c r="J522" s="109"/>
      <c r="K522" s="109"/>
      <c r="L522" s="109"/>
      <c r="M522" s="109"/>
      <c r="N522" s="109"/>
      <c r="O522" s="164"/>
      <c r="P522" s="165"/>
      <c r="Q522" s="165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  <c r="AO522" s="109"/>
      <c r="AP522" s="109"/>
      <c r="AQ522" s="109"/>
      <c r="AR522" s="109"/>
      <c r="AS522" s="109"/>
      <c r="AT522" s="109"/>
      <c r="AU522" s="109"/>
      <c r="AV522" s="109"/>
      <c r="AW522" s="109"/>
      <c r="AX522" s="109"/>
      <c r="AY522" s="109"/>
      <c r="AZ522" s="109"/>
      <c r="BA522" s="109"/>
      <c r="BB522" s="109"/>
      <c r="BC522" s="109"/>
      <c r="BD522" s="109"/>
      <c r="BE522" s="109"/>
      <c r="BF522" s="109"/>
      <c r="BG522" s="109"/>
      <c r="BH522" s="109"/>
      <c r="BI522" s="109"/>
      <c r="BJ522" s="109"/>
      <c r="BK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63"/>
      <c r="J523" s="109"/>
      <c r="K523" s="109"/>
      <c r="L523" s="109"/>
      <c r="M523" s="109"/>
      <c r="N523" s="109"/>
      <c r="O523" s="164"/>
      <c r="P523" s="165"/>
      <c r="Q523" s="165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  <c r="AO523" s="109"/>
      <c r="AP523" s="109"/>
      <c r="AQ523" s="109"/>
      <c r="AR523" s="109"/>
      <c r="AS523" s="109"/>
      <c r="AT523" s="109"/>
      <c r="AU523" s="109"/>
      <c r="AV523" s="109"/>
      <c r="AW523" s="109"/>
      <c r="AX523" s="109"/>
      <c r="AY523" s="109"/>
      <c r="AZ523" s="109"/>
      <c r="BA523" s="109"/>
      <c r="BB523" s="109"/>
      <c r="BC523" s="109"/>
      <c r="BD523" s="109"/>
      <c r="BE523" s="109"/>
      <c r="BF523" s="109"/>
      <c r="BG523" s="109"/>
      <c r="BH523" s="109"/>
      <c r="BI523" s="109"/>
      <c r="BJ523" s="109"/>
      <c r="BK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63"/>
      <c r="J524" s="109"/>
      <c r="K524" s="109"/>
      <c r="L524" s="109"/>
      <c r="M524" s="109"/>
      <c r="N524" s="109"/>
      <c r="O524" s="164"/>
      <c r="P524" s="165"/>
      <c r="Q524" s="165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  <c r="AO524" s="109"/>
      <c r="AP524" s="109"/>
      <c r="AQ524" s="109"/>
      <c r="AR524" s="109"/>
      <c r="AS524" s="109"/>
      <c r="AT524" s="109"/>
      <c r="AU524" s="109"/>
      <c r="AV524" s="109"/>
      <c r="AW524" s="109"/>
      <c r="AX524" s="109"/>
      <c r="AY524" s="109"/>
      <c r="AZ524" s="109"/>
      <c r="BA524" s="109"/>
      <c r="BB524" s="109"/>
      <c r="BC524" s="109"/>
      <c r="BD524" s="109"/>
      <c r="BE524" s="109"/>
      <c r="BF524" s="109"/>
      <c r="BG524" s="109"/>
      <c r="BH524" s="109"/>
      <c r="BI524" s="109"/>
      <c r="BJ524" s="109"/>
      <c r="BK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63"/>
      <c r="J525" s="109"/>
      <c r="K525" s="109"/>
      <c r="L525" s="109"/>
      <c r="M525" s="109"/>
      <c r="N525" s="109"/>
      <c r="O525" s="164"/>
      <c r="P525" s="165"/>
      <c r="Q525" s="165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  <c r="AO525" s="109"/>
      <c r="AP525" s="109"/>
      <c r="AQ525" s="109"/>
      <c r="AR525" s="109"/>
      <c r="AS525" s="109"/>
      <c r="AT525" s="109"/>
      <c r="AU525" s="109"/>
      <c r="AV525" s="109"/>
      <c r="AW525" s="109"/>
      <c r="AX525" s="109"/>
      <c r="AY525" s="109"/>
      <c r="AZ525" s="109"/>
      <c r="BA525" s="109"/>
      <c r="BB525" s="109"/>
      <c r="BC525" s="109"/>
      <c r="BD525" s="109"/>
      <c r="BE525" s="109"/>
      <c r="BF525" s="109"/>
      <c r="BG525" s="109"/>
      <c r="BH525" s="109"/>
      <c r="BI525" s="109"/>
      <c r="BJ525" s="109"/>
      <c r="BK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63"/>
      <c r="J526" s="109"/>
      <c r="K526" s="109"/>
      <c r="L526" s="109"/>
      <c r="M526" s="109"/>
      <c r="N526" s="109"/>
      <c r="O526" s="164"/>
      <c r="P526" s="165"/>
      <c r="Q526" s="165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  <c r="AO526" s="109"/>
      <c r="AP526" s="109"/>
      <c r="AQ526" s="109"/>
      <c r="AR526" s="109"/>
      <c r="AS526" s="109"/>
      <c r="AT526" s="109"/>
      <c r="AU526" s="109"/>
      <c r="AV526" s="109"/>
      <c r="AW526" s="109"/>
      <c r="AX526" s="109"/>
      <c r="AY526" s="109"/>
      <c r="AZ526" s="109"/>
      <c r="BA526" s="109"/>
      <c r="BB526" s="109"/>
      <c r="BC526" s="109"/>
      <c r="BD526" s="109"/>
      <c r="BE526" s="109"/>
      <c r="BF526" s="109"/>
      <c r="BG526" s="109"/>
      <c r="BH526" s="109"/>
      <c r="BI526" s="109"/>
      <c r="BJ526" s="109"/>
      <c r="BK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63"/>
      <c r="J527" s="109"/>
      <c r="K527" s="109"/>
      <c r="L527" s="109"/>
      <c r="M527" s="109"/>
      <c r="N527" s="109"/>
      <c r="O527" s="164"/>
      <c r="P527" s="165"/>
      <c r="Q527" s="165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  <c r="AO527" s="109"/>
      <c r="AP527" s="109"/>
      <c r="AQ527" s="109"/>
      <c r="AR527" s="109"/>
      <c r="AS527" s="109"/>
      <c r="AT527" s="109"/>
      <c r="AU527" s="109"/>
      <c r="AV527" s="109"/>
      <c r="AW527" s="109"/>
      <c r="AX527" s="109"/>
      <c r="AY527" s="109"/>
      <c r="AZ527" s="109"/>
      <c r="BA527" s="109"/>
      <c r="BB527" s="109"/>
      <c r="BC527" s="109"/>
      <c r="BD527" s="109"/>
      <c r="BE527" s="109"/>
      <c r="BF527" s="109"/>
      <c r="BG527" s="109"/>
      <c r="BH527" s="109"/>
      <c r="BI527" s="109"/>
      <c r="BJ527" s="109"/>
      <c r="BK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63"/>
      <c r="J528" s="109"/>
      <c r="K528" s="109"/>
      <c r="L528" s="109"/>
      <c r="M528" s="109"/>
      <c r="N528" s="109"/>
      <c r="O528" s="164"/>
      <c r="P528" s="165"/>
      <c r="Q528" s="165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  <c r="AO528" s="109"/>
      <c r="AP528" s="109"/>
      <c r="AQ528" s="109"/>
      <c r="AR528" s="109"/>
      <c r="AS528" s="109"/>
      <c r="AT528" s="109"/>
      <c r="AU528" s="109"/>
      <c r="AV528" s="109"/>
      <c r="AW528" s="109"/>
      <c r="AX528" s="109"/>
      <c r="AY528" s="109"/>
      <c r="AZ528" s="109"/>
      <c r="BA528" s="109"/>
      <c r="BB528" s="109"/>
      <c r="BC528" s="109"/>
      <c r="BD528" s="109"/>
      <c r="BE528" s="109"/>
      <c r="BF528" s="109"/>
      <c r="BG528" s="109"/>
      <c r="BH528" s="109"/>
      <c r="BI528" s="109"/>
      <c r="BJ528" s="109"/>
      <c r="BK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63"/>
      <c r="J529" s="109"/>
      <c r="K529" s="109"/>
      <c r="L529" s="109"/>
      <c r="M529" s="109"/>
      <c r="N529" s="109"/>
      <c r="O529" s="164"/>
      <c r="P529" s="165"/>
      <c r="Q529" s="165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  <c r="AO529" s="109"/>
      <c r="AP529" s="109"/>
      <c r="AQ529" s="109"/>
      <c r="AR529" s="109"/>
      <c r="AS529" s="109"/>
      <c r="AT529" s="109"/>
      <c r="AU529" s="109"/>
      <c r="AV529" s="109"/>
      <c r="AW529" s="109"/>
      <c r="AX529" s="109"/>
      <c r="AY529" s="109"/>
      <c r="AZ529" s="109"/>
      <c r="BA529" s="109"/>
      <c r="BB529" s="109"/>
      <c r="BC529" s="109"/>
      <c r="BD529" s="109"/>
      <c r="BE529" s="109"/>
      <c r="BF529" s="109"/>
      <c r="BG529" s="109"/>
      <c r="BH529" s="109"/>
      <c r="BI529" s="109"/>
      <c r="BJ529" s="109"/>
      <c r="BK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63"/>
      <c r="J530" s="109"/>
      <c r="K530" s="109"/>
      <c r="L530" s="109"/>
      <c r="M530" s="109"/>
      <c r="N530" s="109"/>
      <c r="O530" s="164"/>
      <c r="P530" s="165"/>
      <c r="Q530" s="165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09"/>
      <c r="BE530" s="109"/>
      <c r="BF530" s="109"/>
      <c r="BG530" s="109"/>
      <c r="BH530" s="109"/>
      <c r="BI530" s="109"/>
      <c r="BJ530" s="109"/>
      <c r="BK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63"/>
      <c r="J531" s="109"/>
      <c r="K531" s="109"/>
      <c r="L531" s="109"/>
      <c r="M531" s="109"/>
      <c r="N531" s="109"/>
      <c r="O531" s="164"/>
      <c r="P531" s="165"/>
      <c r="Q531" s="165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109"/>
      <c r="BB531" s="109"/>
      <c r="BC531" s="109"/>
      <c r="BD531" s="109"/>
      <c r="BE531" s="109"/>
      <c r="BF531" s="109"/>
      <c r="BG531" s="109"/>
      <c r="BH531" s="109"/>
      <c r="BI531" s="109"/>
      <c r="BJ531" s="109"/>
      <c r="BK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63"/>
      <c r="J532" s="109"/>
      <c r="K532" s="109"/>
      <c r="L532" s="109"/>
      <c r="M532" s="109"/>
      <c r="N532" s="109"/>
      <c r="O532" s="164"/>
      <c r="P532" s="165"/>
      <c r="Q532" s="165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109"/>
      <c r="BB532" s="109"/>
      <c r="BC532" s="109"/>
      <c r="BD532" s="109"/>
      <c r="BE532" s="109"/>
      <c r="BF532" s="109"/>
      <c r="BG532" s="109"/>
      <c r="BH532" s="109"/>
      <c r="BI532" s="109"/>
      <c r="BJ532" s="109"/>
      <c r="BK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63"/>
      <c r="J533" s="109"/>
      <c r="K533" s="109"/>
      <c r="L533" s="109"/>
      <c r="M533" s="109"/>
      <c r="N533" s="109"/>
      <c r="O533" s="164"/>
      <c r="P533" s="165"/>
      <c r="Q533" s="165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109"/>
      <c r="BB533" s="109"/>
      <c r="BC533" s="109"/>
      <c r="BD533" s="109"/>
      <c r="BE533" s="109"/>
      <c r="BF533" s="109"/>
      <c r="BG533" s="109"/>
      <c r="BH533" s="109"/>
      <c r="BI533" s="109"/>
      <c r="BJ533" s="109"/>
      <c r="BK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63"/>
      <c r="J534" s="109"/>
      <c r="K534" s="109"/>
      <c r="L534" s="109"/>
      <c r="M534" s="109"/>
      <c r="N534" s="109"/>
      <c r="O534" s="164"/>
      <c r="P534" s="165"/>
      <c r="Q534" s="165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09"/>
      <c r="BB534" s="109"/>
      <c r="BC534" s="109"/>
      <c r="BD534" s="109"/>
      <c r="BE534" s="109"/>
      <c r="BF534" s="109"/>
      <c r="BG534" s="109"/>
      <c r="BH534" s="109"/>
      <c r="BI534" s="109"/>
      <c r="BJ534" s="109"/>
      <c r="BK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63"/>
      <c r="J535" s="109"/>
      <c r="K535" s="109"/>
      <c r="L535" s="109"/>
      <c r="M535" s="109"/>
      <c r="N535" s="109"/>
      <c r="O535" s="164"/>
      <c r="P535" s="165"/>
      <c r="Q535" s="165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09"/>
      <c r="BB535" s="109"/>
      <c r="BC535" s="109"/>
      <c r="BD535" s="109"/>
      <c r="BE535" s="109"/>
      <c r="BF535" s="109"/>
      <c r="BG535" s="109"/>
      <c r="BH535" s="109"/>
      <c r="BI535" s="109"/>
      <c r="BJ535" s="109"/>
      <c r="BK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63"/>
      <c r="J536" s="109"/>
      <c r="K536" s="109"/>
      <c r="L536" s="109"/>
      <c r="M536" s="109"/>
      <c r="N536" s="109"/>
      <c r="O536" s="164"/>
      <c r="P536" s="165"/>
      <c r="Q536" s="165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  <c r="AO536" s="109"/>
      <c r="AP536" s="109"/>
      <c r="AQ536" s="109"/>
      <c r="AR536" s="109"/>
      <c r="AS536" s="109"/>
      <c r="AT536" s="109"/>
      <c r="AU536" s="109"/>
      <c r="AV536" s="109"/>
      <c r="AW536" s="109"/>
      <c r="AX536" s="109"/>
      <c r="AY536" s="109"/>
      <c r="AZ536" s="109"/>
      <c r="BA536" s="109"/>
      <c r="BB536" s="109"/>
      <c r="BC536" s="109"/>
      <c r="BD536" s="109"/>
      <c r="BE536" s="109"/>
      <c r="BF536" s="109"/>
      <c r="BG536" s="109"/>
      <c r="BH536" s="109"/>
      <c r="BI536" s="109"/>
      <c r="BJ536" s="109"/>
      <c r="BK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63"/>
      <c r="J537" s="109"/>
      <c r="K537" s="109"/>
      <c r="L537" s="109"/>
      <c r="M537" s="109"/>
      <c r="N537" s="109"/>
      <c r="O537" s="164"/>
      <c r="P537" s="165"/>
      <c r="Q537" s="165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  <c r="AO537" s="109"/>
      <c r="AP537" s="109"/>
      <c r="AQ537" s="109"/>
      <c r="AR537" s="109"/>
      <c r="AS537" s="109"/>
      <c r="AT537" s="109"/>
      <c r="AU537" s="109"/>
      <c r="AV537" s="109"/>
      <c r="AW537" s="109"/>
      <c r="AX537" s="109"/>
      <c r="AY537" s="109"/>
      <c r="AZ537" s="109"/>
      <c r="BA537" s="109"/>
      <c r="BB537" s="109"/>
      <c r="BC537" s="109"/>
      <c r="BD537" s="109"/>
      <c r="BE537" s="109"/>
      <c r="BF537" s="109"/>
      <c r="BG537" s="109"/>
      <c r="BH537" s="109"/>
      <c r="BI537" s="109"/>
      <c r="BJ537" s="109"/>
      <c r="BK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63"/>
      <c r="J538" s="109"/>
      <c r="K538" s="109"/>
      <c r="L538" s="109"/>
      <c r="M538" s="109"/>
      <c r="N538" s="109"/>
      <c r="O538" s="164"/>
      <c r="P538" s="165"/>
      <c r="Q538" s="165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  <c r="AO538" s="109"/>
      <c r="AP538" s="109"/>
      <c r="AQ538" s="109"/>
      <c r="AR538" s="109"/>
      <c r="AS538" s="109"/>
      <c r="AT538" s="109"/>
      <c r="AU538" s="109"/>
      <c r="AV538" s="109"/>
      <c r="AW538" s="109"/>
      <c r="AX538" s="109"/>
      <c r="AY538" s="109"/>
      <c r="AZ538" s="109"/>
      <c r="BA538" s="109"/>
      <c r="BB538" s="109"/>
      <c r="BC538" s="109"/>
      <c r="BD538" s="109"/>
      <c r="BE538" s="109"/>
      <c r="BF538" s="109"/>
      <c r="BG538" s="109"/>
      <c r="BH538" s="109"/>
      <c r="BI538" s="109"/>
      <c r="BJ538" s="109"/>
      <c r="BK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63"/>
      <c r="J539" s="109"/>
      <c r="K539" s="109"/>
      <c r="L539" s="109"/>
      <c r="M539" s="109"/>
      <c r="N539" s="109"/>
      <c r="O539" s="164"/>
      <c r="P539" s="165"/>
      <c r="Q539" s="165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  <c r="AO539" s="109"/>
      <c r="AP539" s="109"/>
      <c r="AQ539" s="109"/>
      <c r="AR539" s="109"/>
      <c r="AS539" s="109"/>
      <c r="AT539" s="109"/>
      <c r="AU539" s="109"/>
      <c r="AV539" s="109"/>
      <c r="AW539" s="109"/>
      <c r="AX539" s="109"/>
      <c r="AY539" s="109"/>
      <c r="AZ539" s="109"/>
      <c r="BA539" s="109"/>
      <c r="BB539" s="109"/>
      <c r="BC539" s="109"/>
      <c r="BD539" s="109"/>
      <c r="BE539" s="109"/>
      <c r="BF539" s="109"/>
      <c r="BG539" s="109"/>
      <c r="BH539" s="109"/>
      <c r="BI539" s="109"/>
      <c r="BJ539" s="109"/>
      <c r="BK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63"/>
      <c r="J540" s="109"/>
      <c r="K540" s="109"/>
      <c r="L540" s="109"/>
      <c r="M540" s="109"/>
      <c r="N540" s="109"/>
      <c r="O540" s="164"/>
      <c r="P540" s="165"/>
      <c r="Q540" s="165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  <c r="AO540" s="109"/>
      <c r="AP540" s="109"/>
      <c r="AQ540" s="109"/>
      <c r="AR540" s="109"/>
      <c r="AS540" s="109"/>
      <c r="AT540" s="109"/>
      <c r="AU540" s="109"/>
      <c r="AV540" s="109"/>
      <c r="AW540" s="109"/>
      <c r="AX540" s="109"/>
      <c r="AY540" s="109"/>
      <c r="AZ540" s="109"/>
      <c r="BA540" s="109"/>
      <c r="BB540" s="109"/>
      <c r="BC540" s="109"/>
      <c r="BD540" s="109"/>
      <c r="BE540" s="109"/>
      <c r="BF540" s="109"/>
      <c r="BG540" s="109"/>
      <c r="BH540" s="109"/>
      <c r="BI540" s="109"/>
      <c r="BJ540" s="109"/>
      <c r="BK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63"/>
      <c r="J541" s="109"/>
      <c r="K541" s="109"/>
      <c r="L541" s="109"/>
      <c r="M541" s="109"/>
      <c r="N541" s="109"/>
      <c r="O541" s="164"/>
      <c r="P541" s="165"/>
      <c r="Q541" s="165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  <c r="AO541" s="109"/>
      <c r="AP541" s="109"/>
      <c r="AQ541" s="109"/>
      <c r="AR541" s="109"/>
      <c r="AS541" s="109"/>
      <c r="AT541" s="109"/>
      <c r="AU541" s="109"/>
      <c r="AV541" s="109"/>
      <c r="AW541" s="109"/>
      <c r="AX541" s="109"/>
      <c r="AY541" s="109"/>
      <c r="AZ541" s="109"/>
      <c r="BA541" s="109"/>
      <c r="BB541" s="109"/>
      <c r="BC541" s="109"/>
      <c r="BD541" s="109"/>
      <c r="BE541" s="109"/>
      <c r="BF541" s="109"/>
      <c r="BG541" s="109"/>
      <c r="BH541" s="109"/>
      <c r="BI541" s="109"/>
      <c r="BJ541" s="109"/>
      <c r="BK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63"/>
      <c r="J542" s="109"/>
      <c r="K542" s="109"/>
      <c r="L542" s="109"/>
      <c r="M542" s="109"/>
      <c r="N542" s="109"/>
      <c r="O542" s="164"/>
      <c r="P542" s="165"/>
      <c r="Q542" s="165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  <c r="AO542" s="109"/>
      <c r="AP542" s="109"/>
      <c r="AQ542" s="109"/>
      <c r="AR542" s="109"/>
      <c r="AS542" s="109"/>
      <c r="AT542" s="109"/>
      <c r="AU542" s="109"/>
      <c r="AV542" s="109"/>
      <c r="AW542" s="109"/>
      <c r="AX542" s="109"/>
      <c r="AY542" s="109"/>
      <c r="AZ542" s="109"/>
      <c r="BA542" s="109"/>
      <c r="BB542" s="109"/>
      <c r="BC542" s="109"/>
      <c r="BD542" s="109"/>
      <c r="BE542" s="109"/>
      <c r="BF542" s="109"/>
      <c r="BG542" s="109"/>
      <c r="BH542" s="109"/>
      <c r="BI542" s="109"/>
      <c r="BJ542" s="109"/>
      <c r="BK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63"/>
      <c r="J543" s="109"/>
      <c r="K543" s="109"/>
      <c r="L543" s="109"/>
      <c r="M543" s="109"/>
      <c r="N543" s="109"/>
      <c r="O543" s="164"/>
      <c r="P543" s="165"/>
      <c r="Q543" s="165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  <c r="AO543" s="109"/>
      <c r="AP543" s="109"/>
      <c r="AQ543" s="109"/>
      <c r="AR543" s="109"/>
      <c r="AS543" s="109"/>
      <c r="AT543" s="109"/>
      <c r="AU543" s="109"/>
      <c r="AV543" s="109"/>
      <c r="AW543" s="109"/>
      <c r="AX543" s="109"/>
      <c r="AY543" s="109"/>
      <c r="AZ543" s="109"/>
      <c r="BA543" s="109"/>
      <c r="BB543" s="109"/>
      <c r="BC543" s="109"/>
      <c r="BD543" s="109"/>
      <c r="BE543" s="109"/>
      <c r="BF543" s="109"/>
      <c r="BG543" s="109"/>
      <c r="BH543" s="109"/>
      <c r="BI543" s="109"/>
      <c r="BJ543" s="109"/>
      <c r="BK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63"/>
      <c r="J544" s="109"/>
      <c r="K544" s="109"/>
      <c r="L544" s="109"/>
      <c r="M544" s="109"/>
      <c r="N544" s="109"/>
      <c r="O544" s="164"/>
      <c r="P544" s="165"/>
      <c r="Q544" s="165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109"/>
      <c r="AR544" s="109"/>
      <c r="AS544" s="109"/>
      <c r="AT544" s="109"/>
      <c r="AU544" s="109"/>
      <c r="AV544" s="109"/>
      <c r="AW544" s="109"/>
      <c r="AX544" s="109"/>
      <c r="AY544" s="109"/>
      <c r="AZ544" s="109"/>
      <c r="BA544" s="109"/>
      <c r="BB544" s="109"/>
      <c r="BC544" s="109"/>
      <c r="BD544" s="109"/>
      <c r="BE544" s="109"/>
      <c r="BF544" s="109"/>
      <c r="BG544" s="109"/>
      <c r="BH544" s="109"/>
      <c r="BI544" s="109"/>
      <c r="BJ544" s="109"/>
      <c r="BK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63"/>
      <c r="J545" s="109"/>
      <c r="K545" s="109"/>
      <c r="L545" s="109"/>
      <c r="M545" s="109"/>
      <c r="N545" s="109"/>
      <c r="O545" s="164"/>
      <c r="P545" s="165"/>
      <c r="Q545" s="165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09"/>
      <c r="AR545" s="109"/>
      <c r="AS545" s="109"/>
      <c r="AT545" s="109"/>
      <c r="AU545" s="109"/>
      <c r="AV545" s="109"/>
      <c r="AW545" s="109"/>
      <c r="AX545" s="109"/>
      <c r="AY545" s="109"/>
      <c r="AZ545" s="109"/>
      <c r="BA545" s="109"/>
      <c r="BB545" s="109"/>
      <c r="BC545" s="109"/>
      <c r="BD545" s="109"/>
      <c r="BE545" s="109"/>
      <c r="BF545" s="109"/>
      <c r="BG545" s="109"/>
      <c r="BH545" s="109"/>
      <c r="BI545" s="109"/>
      <c r="BJ545" s="109"/>
      <c r="BK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63"/>
      <c r="J546" s="109"/>
      <c r="K546" s="109"/>
      <c r="L546" s="109"/>
      <c r="M546" s="109"/>
      <c r="N546" s="109"/>
      <c r="O546" s="164"/>
      <c r="P546" s="165"/>
      <c r="Q546" s="165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Q546" s="109"/>
      <c r="AR546" s="109"/>
      <c r="AS546" s="109"/>
      <c r="AT546" s="109"/>
      <c r="AU546" s="109"/>
      <c r="AV546" s="109"/>
      <c r="AW546" s="109"/>
      <c r="AX546" s="109"/>
      <c r="AY546" s="109"/>
      <c r="AZ546" s="109"/>
      <c r="BA546" s="109"/>
      <c r="BB546" s="109"/>
      <c r="BC546" s="109"/>
      <c r="BD546" s="109"/>
      <c r="BE546" s="109"/>
      <c r="BF546" s="109"/>
      <c r="BG546" s="109"/>
      <c r="BH546" s="109"/>
      <c r="BI546" s="109"/>
      <c r="BJ546" s="109"/>
      <c r="BK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63"/>
      <c r="J547" s="109"/>
      <c r="K547" s="109"/>
      <c r="L547" s="109"/>
      <c r="M547" s="109"/>
      <c r="N547" s="109"/>
      <c r="O547" s="164"/>
      <c r="P547" s="165"/>
      <c r="Q547" s="165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09"/>
      <c r="AR547" s="109"/>
      <c r="AS547" s="109"/>
      <c r="AT547" s="109"/>
      <c r="AU547" s="109"/>
      <c r="AV547" s="109"/>
      <c r="AW547" s="109"/>
      <c r="AX547" s="109"/>
      <c r="AY547" s="109"/>
      <c r="AZ547" s="109"/>
      <c r="BA547" s="109"/>
      <c r="BB547" s="109"/>
      <c r="BC547" s="109"/>
      <c r="BD547" s="109"/>
      <c r="BE547" s="109"/>
      <c r="BF547" s="109"/>
      <c r="BG547" s="109"/>
      <c r="BH547" s="109"/>
      <c r="BI547" s="109"/>
      <c r="BJ547" s="109"/>
      <c r="BK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63"/>
      <c r="J548" s="109"/>
      <c r="K548" s="109"/>
      <c r="L548" s="109"/>
      <c r="M548" s="109"/>
      <c r="N548" s="109"/>
      <c r="O548" s="164"/>
      <c r="P548" s="165"/>
      <c r="Q548" s="165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Q548" s="109"/>
      <c r="AR548" s="109"/>
      <c r="AS548" s="109"/>
      <c r="AT548" s="109"/>
      <c r="AU548" s="109"/>
      <c r="AV548" s="109"/>
      <c r="AW548" s="109"/>
      <c r="AX548" s="109"/>
      <c r="AY548" s="109"/>
      <c r="AZ548" s="109"/>
      <c r="BA548" s="109"/>
      <c r="BB548" s="109"/>
      <c r="BC548" s="109"/>
      <c r="BD548" s="109"/>
      <c r="BE548" s="109"/>
      <c r="BF548" s="109"/>
      <c r="BG548" s="109"/>
      <c r="BH548" s="109"/>
      <c r="BI548" s="109"/>
      <c r="BJ548" s="109"/>
      <c r="BK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63"/>
      <c r="J549" s="109"/>
      <c r="K549" s="109"/>
      <c r="L549" s="109"/>
      <c r="M549" s="109"/>
      <c r="N549" s="109"/>
      <c r="O549" s="164"/>
      <c r="P549" s="165"/>
      <c r="Q549" s="165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109"/>
      <c r="AR549" s="109"/>
      <c r="AS549" s="109"/>
      <c r="AT549" s="109"/>
      <c r="AU549" s="109"/>
      <c r="AV549" s="109"/>
      <c r="AW549" s="109"/>
      <c r="AX549" s="109"/>
      <c r="AY549" s="109"/>
      <c r="AZ549" s="109"/>
      <c r="BA549" s="109"/>
      <c r="BB549" s="109"/>
      <c r="BC549" s="109"/>
      <c r="BD549" s="109"/>
      <c r="BE549" s="109"/>
      <c r="BF549" s="109"/>
      <c r="BG549" s="109"/>
      <c r="BH549" s="109"/>
      <c r="BI549" s="109"/>
      <c r="BJ549" s="109"/>
      <c r="BK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63"/>
      <c r="J550" s="109"/>
      <c r="K550" s="109"/>
      <c r="L550" s="109"/>
      <c r="M550" s="109"/>
      <c r="N550" s="109"/>
      <c r="O550" s="164"/>
      <c r="P550" s="165"/>
      <c r="Q550" s="165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Q550" s="109"/>
      <c r="AR550" s="109"/>
      <c r="AS550" s="109"/>
      <c r="AT550" s="109"/>
      <c r="AU550" s="109"/>
      <c r="AV550" s="109"/>
      <c r="AW550" s="109"/>
      <c r="AX550" s="109"/>
      <c r="AY550" s="109"/>
      <c r="AZ550" s="109"/>
      <c r="BA550" s="109"/>
      <c r="BB550" s="109"/>
      <c r="BC550" s="109"/>
      <c r="BD550" s="109"/>
      <c r="BE550" s="109"/>
      <c r="BF550" s="109"/>
      <c r="BG550" s="109"/>
      <c r="BH550" s="109"/>
      <c r="BI550" s="109"/>
      <c r="BJ550" s="109"/>
      <c r="BK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63"/>
      <c r="J551" s="109"/>
      <c r="K551" s="109"/>
      <c r="L551" s="109"/>
      <c r="M551" s="109"/>
      <c r="N551" s="109"/>
      <c r="O551" s="164"/>
      <c r="P551" s="165"/>
      <c r="Q551" s="165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  <c r="AO551" s="109"/>
      <c r="AP551" s="109"/>
      <c r="AQ551" s="109"/>
      <c r="AR551" s="109"/>
      <c r="AS551" s="109"/>
      <c r="AT551" s="109"/>
      <c r="AU551" s="109"/>
      <c r="AV551" s="109"/>
      <c r="AW551" s="109"/>
      <c r="AX551" s="109"/>
      <c r="AY551" s="109"/>
      <c r="AZ551" s="109"/>
      <c r="BA551" s="109"/>
      <c r="BB551" s="109"/>
      <c r="BC551" s="109"/>
      <c r="BD551" s="109"/>
      <c r="BE551" s="109"/>
      <c r="BF551" s="109"/>
      <c r="BG551" s="109"/>
      <c r="BH551" s="109"/>
      <c r="BI551" s="109"/>
      <c r="BJ551" s="109"/>
      <c r="BK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63"/>
      <c r="J552" s="109"/>
      <c r="K552" s="109"/>
      <c r="L552" s="109"/>
      <c r="M552" s="109"/>
      <c r="N552" s="109"/>
      <c r="O552" s="164"/>
      <c r="P552" s="165"/>
      <c r="Q552" s="165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  <c r="AO552" s="109"/>
      <c r="AP552" s="109"/>
      <c r="AQ552" s="109"/>
      <c r="AR552" s="109"/>
      <c r="AS552" s="109"/>
      <c r="AT552" s="109"/>
      <c r="AU552" s="109"/>
      <c r="AV552" s="109"/>
      <c r="AW552" s="109"/>
      <c r="AX552" s="109"/>
      <c r="AY552" s="109"/>
      <c r="AZ552" s="109"/>
      <c r="BA552" s="109"/>
      <c r="BB552" s="109"/>
      <c r="BC552" s="109"/>
      <c r="BD552" s="109"/>
      <c r="BE552" s="109"/>
      <c r="BF552" s="109"/>
      <c r="BG552" s="109"/>
      <c r="BH552" s="109"/>
      <c r="BI552" s="109"/>
      <c r="BJ552" s="109"/>
      <c r="BK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63"/>
      <c r="J553" s="109"/>
      <c r="K553" s="109"/>
      <c r="L553" s="109"/>
      <c r="M553" s="109"/>
      <c r="N553" s="109"/>
      <c r="O553" s="164"/>
      <c r="P553" s="165"/>
      <c r="Q553" s="165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  <c r="AO553" s="109"/>
      <c r="AP553" s="109"/>
      <c r="AQ553" s="109"/>
      <c r="AR553" s="109"/>
      <c r="AS553" s="109"/>
      <c r="AT553" s="109"/>
      <c r="AU553" s="109"/>
      <c r="AV553" s="109"/>
      <c r="AW553" s="109"/>
      <c r="AX553" s="109"/>
      <c r="AY553" s="109"/>
      <c r="AZ553" s="109"/>
      <c r="BA553" s="109"/>
      <c r="BB553" s="109"/>
      <c r="BC553" s="109"/>
      <c r="BD553" s="109"/>
      <c r="BE553" s="109"/>
      <c r="BF553" s="109"/>
      <c r="BG553" s="109"/>
      <c r="BH553" s="109"/>
      <c r="BI553" s="109"/>
      <c r="BJ553" s="109"/>
      <c r="BK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63"/>
      <c r="J554" s="109"/>
      <c r="K554" s="109"/>
      <c r="L554" s="109"/>
      <c r="M554" s="109"/>
      <c r="N554" s="109"/>
      <c r="O554" s="164"/>
      <c r="P554" s="165"/>
      <c r="Q554" s="165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  <c r="AO554" s="109"/>
      <c r="AP554" s="109"/>
      <c r="AQ554" s="109"/>
      <c r="AR554" s="109"/>
      <c r="AS554" s="109"/>
      <c r="AT554" s="109"/>
      <c r="AU554" s="109"/>
      <c r="AV554" s="109"/>
      <c r="AW554" s="109"/>
      <c r="AX554" s="109"/>
      <c r="AY554" s="109"/>
      <c r="AZ554" s="109"/>
      <c r="BA554" s="109"/>
      <c r="BB554" s="109"/>
      <c r="BC554" s="109"/>
      <c r="BD554" s="109"/>
      <c r="BE554" s="109"/>
      <c r="BF554" s="109"/>
      <c r="BG554" s="109"/>
      <c r="BH554" s="109"/>
      <c r="BI554" s="109"/>
      <c r="BJ554" s="109"/>
      <c r="BK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63"/>
      <c r="J555" s="109"/>
      <c r="K555" s="109"/>
      <c r="L555" s="109"/>
      <c r="M555" s="109"/>
      <c r="N555" s="109"/>
      <c r="O555" s="164"/>
      <c r="P555" s="165"/>
      <c r="Q555" s="165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  <c r="AO555" s="109"/>
      <c r="AP555" s="109"/>
      <c r="AQ555" s="109"/>
      <c r="AR555" s="109"/>
      <c r="AS555" s="109"/>
      <c r="AT555" s="109"/>
      <c r="AU555" s="109"/>
      <c r="AV555" s="109"/>
      <c r="AW555" s="109"/>
      <c r="AX555" s="109"/>
      <c r="AY555" s="109"/>
      <c r="AZ555" s="109"/>
      <c r="BA555" s="109"/>
      <c r="BB555" s="109"/>
      <c r="BC555" s="109"/>
      <c r="BD555" s="109"/>
      <c r="BE555" s="109"/>
      <c r="BF555" s="109"/>
      <c r="BG555" s="109"/>
      <c r="BH555" s="109"/>
      <c r="BI555" s="109"/>
      <c r="BJ555" s="109"/>
      <c r="BK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63"/>
      <c r="J556" s="109"/>
      <c r="K556" s="109"/>
      <c r="L556" s="109"/>
      <c r="M556" s="109"/>
      <c r="N556" s="109"/>
      <c r="O556" s="164"/>
      <c r="P556" s="165"/>
      <c r="Q556" s="165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  <c r="AO556" s="109"/>
      <c r="AP556" s="109"/>
      <c r="AQ556" s="109"/>
      <c r="AR556" s="109"/>
      <c r="AS556" s="109"/>
      <c r="AT556" s="109"/>
      <c r="AU556" s="109"/>
      <c r="AV556" s="109"/>
      <c r="AW556" s="109"/>
      <c r="AX556" s="109"/>
      <c r="AY556" s="109"/>
      <c r="AZ556" s="109"/>
      <c r="BA556" s="109"/>
      <c r="BB556" s="109"/>
      <c r="BC556" s="109"/>
      <c r="BD556" s="109"/>
      <c r="BE556" s="109"/>
      <c r="BF556" s="109"/>
      <c r="BG556" s="109"/>
      <c r="BH556" s="109"/>
      <c r="BI556" s="109"/>
      <c r="BJ556" s="109"/>
      <c r="BK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63"/>
      <c r="J557" s="109"/>
      <c r="K557" s="109"/>
      <c r="L557" s="109"/>
      <c r="M557" s="109"/>
      <c r="N557" s="109"/>
      <c r="O557" s="164"/>
      <c r="P557" s="165"/>
      <c r="Q557" s="165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  <c r="AO557" s="109"/>
      <c r="AP557" s="109"/>
      <c r="AQ557" s="109"/>
      <c r="AR557" s="109"/>
      <c r="AS557" s="109"/>
      <c r="AT557" s="109"/>
      <c r="AU557" s="109"/>
      <c r="AV557" s="109"/>
      <c r="AW557" s="109"/>
      <c r="AX557" s="109"/>
      <c r="AY557" s="109"/>
      <c r="AZ557" s="109"/>
      <c r="BA557" s="109"/>
      <c r="BB557" s="109"/>
      <c r="BC557" s="109"/>
      <c r="BD557" s="109"/>
      <c r="BE557" s="109"/>
      <c r="BF557" s="109"/>
      <c r="BG557" s="109"/>
      <c r="BH557" s="109"/>
      <c r="BI557" s="109"/>
      <c r="BJ557" s="109"/>
      <c r="BK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63"/>
      <c r="J558" s="109"/>
      <c r="K558" s="109"/>
      <c r="L558" s="109"/>
      <c r="M558" s="109"/>
      <c r="N558" s="109"/>
      <c r="O558" s="164"/>
      <c r="P558" s="165"/>
      <c r="Q558" s="165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  <c r="AO558" s="109"/>
      <c r="AP558" s="109"/>
      <c r="AQ558" s="109"/>
      <c r="AR558" s="109"/>
      <c r="AS558" s="109"/>
      <c r="AT558" s="109"/>
      <c r="AU558" s="109"/>
      <c r="AV558" s="109"/>
      <c r="AW558" s="109"/>
      <c r="AX558" s="109"/>
      <c r="AY558" s="109"/>
      <c r="AZ558" s="109"/>
      <c r="BA558" s="109"/>
      <c r="BB558" s="109"/>
      <c r="BC558" s="109"/>
      <c r="BD558" s="109"/>
      <c r="BE558" s="109"/>
      <c r="BF558" s="109"/>
      <c r="BG558" s="109"/>
      <c r="BH558" s="109"/>
      <c r="BI558" s="109"/>
      <c r="BJ558" s="109"/>
      <c r="BK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63"/>
      <c r="J559" s="109"/>
      <c r="K559" s="109"/>
      <c r="L559" s="109"/>
      <c r="M559" s="109"/>
      <c r="N559" s="109"/>
      <c r="O559" s="164"/>
      <c r="P559" s="165"/>
      <c r="Q559" s="165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  <c r="AO559" s="109"/>
      <c r="AP559" s="109"/>
      <c r="AQ559" s="109"/>
      <c r="AR559" s="109"/>
      <c r="AS559" s="109"/>
      <c r="AT559" s="109"/>
      <c r="AU559" s="109"/>
      <c r="AV559" s="109"/>
      <c r="AW559" s="109"/>
      <c r="AX559" s="109"/>
      <c r="AY559" s="109"/>
      <c r="AZ559" s="109"/>
      <c r="BA559" s="109"/>
      <c r="BB559" s="109"/>
      <c r="BC559" s="109"/>
      <c r="BD559" s="109"/>
      <c r="BE559" s="109"/>
      <c r="BF559" s="109"/>
      <c r="BG559" s="109"/>
      <c r="BH559" s="109"/>
      <c r="BI559" s="109"/>
      <c r="BJ559" s="109"/>
      <c r="BK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63"/>
      <c r="J560" s="109"/>
      <c r="K560" s="109"/>
      <c r="L560" s="109"/>
      <c r="M560" s="109"/>
      <c r="N560" s="109"/>
      <c r="O560" s="164"/>
      <c r="P560" s="165"/>
      <c r="Q560" s="165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  <c r="AO560" s="109"/>
      <c r="AP560" s="109"/>
      <c r="AQ560" s="109"/>
      <c r="AR560" s="109"/>
      <c r="AS560" s="109"/>
      <c r="AT560" s="109"/>
      <c r="AU560" s="109"/>
      <c r="AV560" s="109"/>
      <c r="AW560" s="109"/>
      <c r="AX560" s="109"/>
      <c r="AY560" s="109"/>
      <c r="AZ560" s="109"/>
      <c r="BA560" s="109"/>
      <c r="BB560" s="109"/>
      <c r="BC560" s="109"/>
      <c r="BD560" s="109"/>
      <c r="BE560" s="109"/>
      <c r="BF560" s="109"/>
      <c r="BG560" s="109"/>
      <c r="BH560" s="109"/>
      <c r="BI560" s="109"/>
      <c r="BJ560" s="109"/>
      <c r="BK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63"/>
      <c r="J561" s="109"/>
      <c r="K561" s="109"/>
      <c r="L561" s="109"/>
      <c r="M561" s="109"/>
      <c r="N561" s="109"/>
      <c r="O561" s="164"/>
      <c r="P561" s="165"/>
      <c r="Q561" s="165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  <c r="AO561" s="109"/>
      <c r="AP561" s="109"/>
      <c r="AQ561" s="109"/>
      <c r="AR561" s="109"/>
      <c r="AS561" s="109"/>
      <c r="AT561" s="109"/>
      <c r="AU561" s="109"/>
      <c r="AV561" s="109"/>
      <c r="AW561" s="109"/>
      <c r="AX561" s="109"/>
      <c r="AY561" s="109"/>
      <c r="AZ561" s="109"/>
      <c r="BA561" s="109"/>
      <c r="BB561" s="109"/>
      <c r="BC561" s="109"/>
      <c r="BD561" s="109"/>
      <c r="BE561" s="109"/>
      <c r="BF561" s="109"/>
      <c r="BG561" s="109"/>
      <c r="BH561" s="109"/>
      <c r="BI561" s="109"/>
      <c r="BJ561" s="109"/>
      <c r="BK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63"/>
      <c r="J562" s="109"/>
      <c r="K562" s="109"/>
      <c r="L562" s="109"/>
      <c r="M562" s="109"/>
      <c r="N562" s="109"/>
      <c r="O562" s="164"/>
      <c r="P562" s="165"/>
      <c r="Q562" s="165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  <c r="AO562" s="109"/>
      <c r="AP562" s="109"/>
      <c r="AQ562" s="109"/>
      <c r="AR562" s="109"/>
      <c r="AS562" s="109"/>
      <c r="AT562" s="109"/>
      <c r="AU562" s="109"/>
      <c r="AV562" s="109"/>
      <c r="AW562" s="109"/>
      <c r="AX562" s="109"/>
      <c r="AY562" s="109"/>
      <c r="AZ562" s="109"/>
      <c r="BA562" s="109"/>
      <c r="BB562" s="109"/>
      <c r="BC562" s="109"/>
      <c r="BD562" s="109"/>
      <c r="BE562" s="109"/>
      <c r="BF562" s="109"/>
      <c r="BG562" s="109"/>
      <c r="BH562" s="109"/>
      <c r="BI562" s="109"/>
      <c r="BJ562" s="109"/>
      <c r="BK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63"/>
      <c r="J563" s="109"/>
      <c r="K563" s="109"/>
      <c r="L563" s="109"/>
      <c r="M563" s="109"/>
      <c r="N563" s="109"/>
      <c r="O563" s="164"/>
      <c r="P563" s="165"/>
      <c r="Q563" s="165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  <c r="AO563" s="109"/>
      <c r="AP563" s="109"/>
      <c r="AQ563" s="109"/>
      <c r="AR563" s="109"/>
      <c r="AS563" s="109"/>
      <c r="AT563" s="109"/>
      <c r="AU563" s="109"/>
      <c r="AV563" s="109"/>
      <c r="AW563" s="109"/>
      <c r="AX563" s="109"/>
      <c r="AY563" s="109"/>
      <c r="AZ563" s="109"/>
      <c r="BA563" s="109"/>
      <c r="BB563" s="109"/>
      <c r="BC563" s="109"/>
      <c r="BD563" s="109"/>
      <c r="BE563" s="109"/>
      <c r="BF563" s="109"/>
      <c r="BG563" s="109"/>
      <c r="BH563" s="109"/>
      <c r="BI563" s="109"/>
      <c r="BJ563" s="109"/>
      <c r="BK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63"/>
      <c r="J564" s="109"/>
      <c r="K564" s="109"/>
      <c r="L564" s="109"/>
      <c r="M564" s="109"/>
      <c r="N564" s="109"/>
      <c r="O564" s="164"/>
      <c r="P564" s="165"/>
      <c r="Q564" s="165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  <c r="AO564" s="109"/>
      <c r="AP564" s="109"/>
      <c r="AQ564" s="109"/>
      <c r="AR564" s="109"/>
      <c r="AS564" s="109"/>
      <c r="AT564" s="109"/>
      <c r="AU564" s="109"/>
      <c r="AV564" s="109"/>
      <c r="AW564" s="109"/>
      <c r="AX564" s="109"/>
      <c r="AY564" s="109"/>
      <c r="AZ564" s="109"/>
      <c r="BA564" s="109"/>
      <c r="BB564" s="109"/>
      <c r="BC564" s="109"/>
      <c r="BD564" s="109"/>
      <c r="BE564" s="109"/>
      <c r="BF564" s="109"/>
      <c r="BG564" s="109"/>
      <c r="BH564" s="109"/>
      <c r="BI564" s="109"/>
      <c r="BJ564" s="109"/>
      <c r="BK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63"/>
      <c r="J565" s="109"/>
      <c r="K565" s="109"/>
      <c r="L565" s="109"/>
      <c r="M565" s="109"/>
      <c r="N565" s="109"/>
      <c r="O565" s="164"/>
      <c r="P565" s="165"/>
      <c r="Q565" s="165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Q565" s="109"/>
      <c r="AR565" s="109"/>
      <c r="AS565" s="109"/>
      <c r="AT565" s="109"/>
      <c r="AU565" s="109"/>
      <c r="AV565" s="109"/>
      <c r="AW565" s="109"/>
      <c r="AX565" s="109"/>
      <c r="AY565" s="109"/>
      <c r="AZ565" s="109"/>
      <c r="BA565" s="109"/>
      <c r="BB565" s="109"/>
      <c r="BC565" s="109"/>
      <c r="BD565" s="109"/>
      <c r="BE565" s="109"/>
      <c r="BF565" s="109"/>
      <c r="BG565" s="109"/>
      <c r="BH565" s="109"/>
      <c r="BI565" s="109"/>
      <c r="BJ565" s="109"/>
      <c r="BK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63"/>
      <c r="J566" s="109"/>
      <c r="K566" s="109"/>
      <c r="L566" s="109"/>
      <c r="M566" s="109"/>
      <c r="N566" s="109"/>
      <c r="O566" s="164"/>
      <c r="P566" s="165"/>
      <c r="Q566" s="165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Q566" s="109"/>
      <c r="AR566" s="109"/>
      <c r="AS566" s="109"/>
      <c r="AT566" s="109"/>
      <c r="AU566" s="109"/>
      <c r="AV566" s="109"/>
      <c r="AW566" s="109"/>
      <c r="AX566" s="109"/>
      <c r="AY566" s="109"/>
      <c r="AZ566" s="109"/>
      <c r="BA566" s="109"/>
      <c r="BB566" s="109"/>
      <c r="BC566" s="109"/>
      <c r="BD566" s="109"/>
      <c r="BE566" s="109"/>
      <c r="BF566" s="109"/>
      <c r="BG566" s="109"/>
      <c r="BH566" s="109"/>
      <c r="BI566" s="109"/>
      <c r="BJ566" s="109"/>
      <c r="BK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63"/>
      <c r="J567" s="109"/>
      <c r="K567" s="109"/>
      <c r="L567" s="109"/>
      <c r="M567" s="109"/>
      <c r="N567" s="109"/>
      <c r="O567" s="164"/>
      <c r="P567" s="165"/>
      <c r="Q567" s="165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Q567" s="109"/>
      <c r="AR567" s="109"/>
      <c r="AS567" s="109"/>
      <c r="AT567" s="109"/>
      <c r="AU567" s="109"/>
      <c r="AV567" s="109"/>
      <c r="AW567" s="109"/>
      <c r="AX567" s="109"/>
      <c r="AY567" s="109"/>
      <c r="AZ567" s="109"/>
      <c r="BA567" s="109"/>
      <c r="BB567" s="109"/>
      <c r="BC567" s="109"/>
      <c r="BD567" s="109"/>
      <c r="BE567" s="109"/>
      <c r="BF567" s="109"/>
      <c r="BG567" s="109"/>
      <c r="BH567" s="109"/>
      <c r="BI567" s="109"/>
      <c r="BJ567" s="109"/>
      <c r="BK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63"/>
      <c r="J568" s="109"/>
      <c r="K568" s="109"/>
      <c r="L568" s="109"/>
      <c r="M568" s="109"/>
      <c r="N568" s="109"/>
      <c r="O568" s="164"/>
      <c r="P568" s="165"/>
      <c r="Q568" s="165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Q568" s="109"/>
      <c r="AR568" s="109"/>
      <c r="AS568" s="109"/>
      <c r="AT568" s="109"/>
      <c r="AU568" s="109"/>
      <c r="AV568" s="109"/>
      <c r="AW568" s="109"/>
      <c r="AX568" s="109"/>
      <c r="AY568" s="109"/>
      <c r="AZ568" s="109"/>
      <c r="BA568" s="109"/>
      <c r="BB568" s="109"/>
      <c r="BC568" s="109"/>
      <c r="BD568" s="109"/>
      <c r="BE568" s="109"/>
      <c r="BF568" s="109"/>
      <c r="BG568" s="109"/>
      <c r="BH568" s="109"/>
      <c r="BI568" s="109"/>
      <c r="BJ568" s="109"/>
      <c r="BK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63"/>
      <c r="J569" s="109"/>
      <c r="K569" s="109"/>
      <c r="L569" s="109"/>
      <c r="M569" s="109"/>
      <c r="N569" s="109"/>
      <c r="O569" s="164"/>
      <c r="P569" s="165"/>
      <c r="Q569" s="165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Q569" s="109"/>
      <c r="AR569" s="109"/>
      <c r="AS569" s="109"/>
      <c r="AT569" s="109"/>
      <c r="AU569" s="109"/>
      <c r="AV569" s="109"/>
      <c r="AW569" s="109"/>
      <c r="AX569" s="109"/>
      <c r="AY569" s="109"/>
      <c r="AZ569" s="109"/>
      <c r="BA569" s="109"/>
      <c r="BB569" s="109"/>
      <c r="BC569" s="109"/>
      <c r="BD569" s="109"/>
      <c r="BE569" s="109"/>
      <c r="BF569" s="109"/>
      <c r="BG569" s="109"/>
      <c r="BH569" s="109"/>
      <c r="BI569" s="109"/>
      <c r="BJ569" s="109"/>
      <c r="BK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63"/>
      <c r="J570" s="109"/>
      <c r="K570" s="109"/>
      <c r="L570" s="109"/>
      <c r="M570" s="109"/>
      <c r="N570" s="109"/>
      <c r="O570" s="164"/>
      <c r="P570" s="165"/>
      <c r="Q570" s="165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  <c r="AO570" s="109"/>
      <c r="AP570" s="109"/>
      <c r="AQ570" s="109"/>
      <c r="AR570" s="109"/>
      <c r="AS570" s="109"/>
      <c r="AT570" s="109"/>
      <c r="AU570" s="109"/>
      <c r="AV570" s="109"/>
      <c r="AW570" s="109"/>
      <c r="AX570" s="109"/>
      <c r="AY570" s="109"/>
      <c r="AZ570" s="109"/>
      <c r="BA570" s="109"/>
      <c r="BB570" s="109"/>
      <c r="BC570" s="109"/>
      <c r="BD570" s="109"/>
      <c r="BE570" s="109"/>
      <c r="BF570" s="109"/>
      <c r="BG570" s="109"/>
      <c r="BH570" s="109"/>
      <c r="BI570" s="109"/>
      <c r="BJ570" s="109"/>
      <c r="BK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63"/>
      <c r="J571" s="109"/>
      <c r="K571" s="109"/>
      <c r="L571" s="109"/>
      <c r="M571" s="109"/>
      <c r="N571" s="109"/>
      <c r="O571" s="164"/>
      <c r="P571" s="165"/>
      <c r="Q571" s="165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  <c r="AO571" s="109"/>
      <c r="AP571" s="109"/>
      <c r="AQ571" s="109"/>
      <c r="AR571" s="109"/>
      <c r="AS571" s="109"/>
      <c r="AT571" s="109"/>
      <c r="AU571" s="109"/>
      <c r="AV571" s="109"/>
      <c r="AW571" s="109"/>
      <c r="AX571" s="109"/>
      <c r="AY571" s="109"/>
      <c r="AZ571" s="109"/>
      <c r="BA571" s="109"/>
      <c r="BB571" s="109"/>
      <c r="BC571" s="109"/>
      <c r="BD571" s="109"/>
      <c r="BE571" s="109"/>
      <c r="BF571" s="109"/>
      <c r="BG571" s="109"/>
      <c r="BH571" s="109"/>
      <c r="BI571" s="109"/>
      <c r="BJ571" s="109"/>
      <c r="BK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63"/>
      <c r="J572" s="109"/>
      <c r="K572" s="109"/>
      <c r="L572" s="109"/>
      <c r="M572" s="109"/>
      <c r="N572" s="109"/>
      <c r="O572" s="164"/>
      <c r="P572" s="165"/>
      <c r="Q572" s="165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Q572" s="109"/>
      <c r="AR572" s="109"/>
      <c r="AS572" s="109"/>
      <c r="AT572" s="109"/>
      <c r="AU572" s="109"/>
      <c r="AV572" s="109"/>
      <c r="AW572" s="109"/>
      <c r="AX572" s="109"/>
      <c r="AY572" s="109"/>
      <c r="AZ572" s="109"/>
      <c r="BA572" s="109"/>
      <c r="BB572" s="109"/>
      <c r="BC572" s="109"/>
      <c r="BD572" s="109"/>
      <c r="BE572" s="109"/>
      <c r="BF572" s="109"/>
      <c r="BG572" s="109"/>
      <c r="BH572" s="109"/>
      <c r="BI572" s="109"/>
      <c r="BJ572" s="109"/>
      <c r="BK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63"/>
      <c r="J573" s="109"/>
      <c r="K573" s="109"/>
      <c r="L573" s="109"/>
      <c r="M573" s="109"/>
      <c r="N573" s="109"/>
      <c r="O573" s="164"/>
      <c r="P573" s="165"/>
      <c r="Q573" s="165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Q573" s="109"/>
      <c r="AR573" s="109"/>
      <c r="AS573" s="109"/>
      <c r="AT573" s="109"/>
      <c r="AU573" s="109"/>
      <c r="AV573" s="109"/>
      <c r="AW573" s="109"/>
      <c r="AX573" s="109"/>
      <c r="AY573" s="109"/>
      <c r="AZ573" s="109"/>
      <c r="BA573" s="109"/>
      <c r="BB573" s="109"/>
      <c r="BC573" s="109"/>
      <c r="BD573" s="109"/>
      <c r="BE573" s="109"/>
      <c r="BF573" s="109"/>
      <c r="BG573" s="109"/>
      <c r="BH573" s="109"/>
      <c r="BI573" s="109"/>
      <c r="BJ573" s="109"/>
      <c r="BK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63"/>
      <c r="J574" s="109"/>
      <c r="K574" s="109"/>
      <c r="L574" s="109"/>
      <c r="M574" s="109"/>
      <c r="N574" s="109"/>
      <c r="O574" s="164"/>
      <c r="P574" s="165"/>
      <c r="Q574" s="165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109"/>
      <c r="AR574" s="109"/>
      <c r="AS574" s="109"/>
      <c r="AT574" s="109"/>
      <c r="AU574" s="109"/>
      <c r="AV574" s="109"/>
      <c r="AW574" s="109"/>
      <c r="AX574" s="109"/>
      <c r="AY574" s="109"/>
      <c r="AZ574" s="109"/>
      <c r="BA574" s="109"/>
      <c r="BB574" s="109"/>
      <c r="BC574" s="109"/>
      <c r="BD574" s="109"/>
      <c r="BE574" s="109"/>
      <c r="BF574" s="109"/>
      <c r="BG574" s="109"/>
      <c r="BH574" s="109"/>
      <c r="BI574" s="109"/>
      <c r="BJ574" s="109"/>
      <c r="BK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63"/>
      <c r="J575" s="109"/>
      <c r="K575" s="109"/>
      <c r="L575" s="109"/>
      <c r="M575" s="109"/>
      <c r="N575" s="109"/>
      <c r="O575" s="164"/>
      <c r="P575" s="165"/>
      <c r="Q575" s="165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109"/>
      <c r="AR575" s="109"/>
      <c r="AS575" s="109"/>
      <c r="AT575" s="109"/>
      <c r="AU575" s="109"/>
      <c r="AV575" s="109"/>
      <c r="AW575" s="109"/>
      <c r="AX575" s="109"/>
      <c r="AY575" s="109"/>
      <c r="AZ575" s="109"/>
      <c r="BA575" s="109"/>
      <c r="BB575" s="109"/>
      <c r="BC575" s="109"/>
      <c r="BD575" s="109"/>
      <c r="BE575" s="109"/>
      <c r="BF575" s="109"/>
      <c r="BG575" s="109"/>
      <c r="BH575" s="109"/>
      <c r="BI575" s="109"/>
      <c r="BJ575" s="109"/>
      <c r="BK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63"/>
      <c r="J576" s="109"/>
      <c r="K576" s="109"/>
      <c r="L576" s="109"/>
      <c r="M576" s="109"/>
      <c r="N576" s="109"/>
      <c r="O576" s="164"/>
      <c r="P576" s="165"/>
      <c r="Q576" s="165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109"/>
      <c r="AR576" s="109"/>
      <c r="AS576" s="109"/>
      <c r="AT576" s="109"/>
      <c r="AU576" s="109"/>
      <c r="AV576" s="109"/>
      <c r="AW576" s="109"/>
      <c r="AX576" s="109"/>
      <c r="AY576" s="109"/>
      <c r="AZ576" s="109"/>
      <c r="BA576" s="109"/>
      <c r="BB576" s="109"/>
      <c r="BC576" s="109"/>
      <c r="BD576" s="109"/>
      <c r="BE576" s="109"/>
      <c r="BF576" s="109"/>
      <c r="BG576" s="109"/>
      <c r="BH576" s="109"/>
      <c r="BI576" s="109"/>
      <c r="BJ576" s="109"/>
      <c r="BK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63"/>
      <c r="J577" s="109"/>
      <c r="K577" s="109"/>
      <c r="L577" s="109"/>
      <c r="M577" s="109"/>
      <c r="N577" s="109"/>
      <c r="O577" s="164"/>
      <c r="P577" s="165"/>
      <c r="Q577" s="165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109"/>
      <c r="AR577" s="109"/>
      <c r="AS577" s="109"/>
      <c r="AT577" s="109"/>
      <c r="AU577" s="109"/>
      <c r="AV577" s="109"/>
      <c r="AW577" s="109"/>
      <c r="AX577" s="109"/>
      <c r="AY577" s="109"/>
      <c r="AZ577" s="109"/>
      <c r="BA577" s="109"/>
      <c r="BB577" s="109"/>
      <c r="BC577" s="109"/>
      <c r="BD577" s="109"/>
      <c r="BE577" s="109"/>
      <c r="BF577" s="109"/>
      <c r="BG577" s="109"/>
      <c r="BH577" s="109"/>
      <c r="BI577" s="109"/>
      <c r="BJ577" s="109"/>
      <c r="BK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63"/>
      <c r="J578" s="109"/>
      <c r="K578" s="109"/>
      <c r="L578" s="109"/>
      <c r="M578" s="109"/>
      <c r="N578" s="109"/>
      <c r="O578" s="164"/>
      <c r="P578" s="165"/>
      <c r="Q578" s="165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  <c r="AO578" s="109"/>
      <c r="AP578" s="109"/>
      <c r="AQ578" s="109"/>
      <c r="AR578" s="109"/>
      <c r="AS578" s="109"/>
      <c r="AT578" s="109"/>
      <c r="AU578" s="109"/>
      <c r="AV578" s="109"/>
      <c r="AW578" s="109"/>
      <c r="AX578" s="109"/>
      <c r="AY578" s="109"/>
      <c r="AZ578" s="109"/>
      <c r="BA578" s="109"/>
      <c r="BB578" s="109"/>
      <c r="BC578" s="109"/>
      <c r="BD578" s="109"/>
      <c r="BE578" s="109"/>
      <c r="BF578" s="109"/>
      <c r="BG578" s="109"/>
      <c r="BH578" s="109"/>
      <c r="BI578" s="109"/>
      <c r="BJ578" s="109"/>
      <c r="BK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63"/>
      <c r="J579" s="109"/>
      <c r="K579" s="109"/>
      <c r="L579" s="109"/>
      <c r="M579" s="109"/>
      <c r="N579" s="109"/>
      <c r="O579" s="164"/>
      <c r="P579" s="165"/>
      <c r="Q579" s="165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109"/>
      <c r="AR579" s="109"/>
      <c r="AS579" s="109"/>
      <c r="AT579" s="109"/>
      <c r="AU579" s="109"/>
      <c r="AV579" s="109"/>
      <c r="AW579" s="109"/>
      <c r="AX579" s="109"/>
      <c r="AY579" s="109"/>
      <c r="AZ579" s="109"/>
      <c r="BA579" s="109"/>
      <c r="BB579" s="109"/>
      <c r="BC579" s="109"/>
      <c r="BD579" s="109"/>
      <c r="BE579" s="109"/>
      <c r="BF579" s="109"/>
      <c r="BG579" s="109"/>
      <c r="BH579" s="109"/>
      <c r="BI579" s="109"/>
      <c r="BJ579" s="109"/>
      <c r="BK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63"/>
      <c r="J580" s="109"/>
      <c r="K580" s="109"/>
      <c r="L580" s="109"/>
      <c r="M580" s="109"/>
      <c r="N580" s="109"/>
      <c r="O580" s="164"/>
      <c r="P580" s="165"/>
      <c r="Q580" s="165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  <c r="AO580" s="109"/>
      <c r="AP580" s="109"/>
      <c r="AQ580" s="109"/>
      <c r="AR580" s="109"/>
      <c r="AS580" s="109"/>
      <c r="AT580" s="109"/>
      <c r="AU580" s="109"/>
      <c r="AV580" s="109"/>
      <c r="AW580" s="109"/>
      <c r="AX580" s="109"/>
      <c r="AY580" s="109"/>
      <c r="AZ580" s="109"/>
      <c r="BA580" s="109"/>
      <c r="BB580" s="109"/>
      <c r="BC580" s="109"/>
      <c r="BD580" s="109"/>
      <c r="BE580" s="109"/>
      <c r="BF580" s="109"/>
      <c r="BG580" s="109"/>
      <c r="BH580" s="109"/>
      <c r="BI580" s="109"/>
      <c r="BJ580" s="109"/>
      <c r="BK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63"/>
      <c r="J581" s="109"/>
      <c r="K581" s="109"/>
      <c r="L581" s="109"/>
      <c r="M581" s="109"/>
      <c r="N581" s="109"/>
      <c r="O581" s="164"/>
      <c r="P581" s="165"/>
      <c r="Q581" s="165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Q581" s="109"/>
      <c r="AR581" s="109"/>
      <c r="AS581" s="109"/>
      <c r="AT581" s="109"/>
      <c r="AU581" s="109"/>
      <c r="AV581" s="109"/>
      <c r="AW581" s="109"/>
      <c r="AX581" s="109"/>
      <c r="AY581" s="109"/>
      <c r="AZ581" s="109"/>
      <c r="BA581" s="109"/>
      <c r="BB581" s="109"/>
      <c r="BC581" s="109"/>
      <c r="BD581" s="109"/>
      <c r="BE581" s="109"/>
      <c r="BF581" s="109"/>
      <c r="BG581" s="109"/>
      <c r="BH581" s="109"/>
      <c r="BI581" s="109"/>
      <c r="BJ581" s="109"/>
      <c r="BK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63"/>
      <c r="J582" s="109"/>
      <c r="K582" s="109"/>
      <c r="L582" s="109"/>
      <c r="M582" s="109"/>
      <c r="N582" s="109"/>
      <c r="O582" s="164"/>
      <c r="P582" s="165"/>
      <c r="Q582" s="165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Q582" s="109"/>
      <c r="AR582" s="109"/>
      <c r="AS582" s="109"/>
      <c r="AT582" s="109"/>
      <c r="AU582" s="109"/>
      <c r="AV582" s="109"/>
      <c r="AW582" s="109"/>
      <c r="AX582" s="109"/>
      <c r="AY582" s="109"/>
      <c r="AZ582" s="109"/>
      <c r="BA582" s="109"/>
      <c r="BB582" s="109"/>
      <c r="BC582" s="109"/>
      <c r="BD582" s="109"/>
      <c r="BE582" s="109"/>
      <c r="BF582" s="109"/>
      <c r="BG582" s="109"/>
      <c r="BH582" s="109"/>
      <c r="BI582" s="109"/>
      <c r="BJ582" s="109"/>
      <c r="BK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63"/>
      <c r="J583" s="109"/>
      <c r="K583" s="109"/>
      <c r="L583" s="109"/>
      <c r="M583" s="109"/>
      <c r="N583" s="109"/>
      <c r="O583" s="164"/>
      <c r="P583" s="165"/>
      <c r="Q583" s="165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109"/>
      <c r="AR583" s="109"/>
      <c r="AS583" s="109"/>
      <c r="AT583" s="109"/>
      <c r="AU583" s="109"/>
      <c r="AV583" s="109"/>
      <c r="AW583" s="109"/>
      <c r="AX583" s="109"/>
      <c r="AY583" s="109"/>
      <c r="AZ583" s="109"/>
      <c r="BA583" s="109"/>
      <c r="BB583" s="109"/>
      <c r="BC583" s="109"/>
      <c r="BD583" s="109"/>
      <c r="BE583" s="109"/>
      <c r="BF583" s="109"/>
      <c r="BG583" s="109"/>
      <c r="BH583" s="109"/>
      <c r="BI583" s="109"/>
      <c r="BJ583" s="109"/>
      <c r="BK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63"/>
      <c r="J584" s="109"/>
      <c r="K584" s="109"/>
      <c r="L584" s="109"/>
      <c r="M584" s="109"/>
      <c r="N584" s="109"/>
      <c r="O584" s="164"/>
      <c r="P584" s="165"/>
      <c r="Q584" s="165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109"/>
      <c r="AR584" s="109"/>
      <c r="AS584" s="109"/>
      <c r="AT584" s="109"/>
      <c r="AU584" s="109"/>
      <c r="AV584" s="109"/>
      <c r="AW584" s="109"/>
      <c r="AX584" s="109"/>
      <c r="AY584" s="109"/>
      <c r="AZ584" s="109"/>
      <c r="BA584" s="109"/>
      <c r="BB584" s="109"/>
      <c r="BC584" s="109"/>
      <c r="BD584" s="109"/>
      <c r="BE584" s="109"/>
      <c r="BF584" s="109"/>
      <c r="BG584" s="109"/>
      <c r="BH584" s="109"/>
      <c r="BI584" s="109"/>
      <c r="BJ584" s="109"/>
      <c r="BK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63"/>
      <c r="J585" s="109"/>
      <c r="K585" s="109"/>
      <c r="L585" s="109"/>
      <c r="M585" s="109"/>
      <c r="N585" s="109"/>
      <c r="O585" s="164"/>
      <c r="P585" s="165"/>
      <c r="Q585" s="165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  <c r="AO585" s="109"/>
      <c r="AP585" s="109"/>
      <c r="AQ585" s="109"/>
      <c r="AR585" s="109"/>
      <c r="AS585" s="109"/>
      <c r="AT585" s="109"/>
      <c r="AU585" s="109"/>
      <c r="AV585" s="109"/>
      <c r="AW585" s="109"/>
      <c r="AX585" s="109"/>
      <c r="AY585" s="109"/>
      <c r="AZ585" s="109"/>
      <c r="BA585" s="109"/>
      <c r="BB585" s="109"/>
      <c r="BC585" s="109"/>
      <c r="BD585" s="109"/>
      <c r="BE585" s="109"/>
      <c r="BF585" s="109"/>
      <c r="BG585" s="109"/>
      <c r="BH585" s="109"/>
      <c r="BI585" s="109"/>
      <c r="BJ585" s="109"/>
      <c r="BK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63"/>
      <c r="J586" s="109"/>
      <c r="K586" s="109"/>
      <c r="L586" s="109"/>
      <c r="M586" s="109"/>
      <c r="N586" s="109"/>
      <c r="O586" s="164"/>
      <c r="P586" s="165"/>
      <c r="Q586" s="165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109"/>
      <c r="AR586" s="109"/>
      <c r="AS586" s="109"/>
      <c r="AT586" s="109"/>
      <c r="AU586" s="109"/>
      <c r="AV586" s="109"/>
      <c r="AW586" s="109"/>
      <c r="AX586" s="109"/>
      <c r="AY586" s="109"/>
      <c r="AZ586" s="109"/>
      <c r="BA586" s="109"/>
      <c r="BB586" s="109"/>
      <c r="BC586" s="109"/>
      <c r="BD586" s="109"/>
      <c r="BE586" s="109"/>
      <c r="BF586" s="109"/>
      <c r="BG586" s="109"/>
      <c r="BH586" s="109"/>
      <c r="BI586" s="109"/>
      <c r="BJ586" s="109"/>
      <c r="BK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63"/>
      <c r="J587" s="109"/>
      <c r="K587" s="109"/>
      <c r="L587" s="109"/>
      <c r="M587" s="109"/>
      <c r="N587" s="109"/>
      <c r="O587" s="164"/>
      <c r="P587" s="165"/>
      <c r="Q587" s="165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109"/>
      <c r="AR587" s="109"/>
      <c r="AS587" s="109"/>
      <c r="AT587" s="109"/>
      <c r="AU587" s="109"/>
      <c r="AV587" s="109"/>
      <c r="AW587" s="109"/>
      <c r="AX587" s="109"/>
      <c r="AY587" s="109"/>
      <c r="AZ587" s="109"/>
      <c r="BA587" s="109"/>
      <c r="BB587" s="109"/>
      <c r="BC587" s="109"/>
      <c r="BD587" s="109"/>
      <c r="BE587" s="109"/>
      <c r="BF587" s="109"/>
      <c r="BG587" s="109"/>
      <c r="BH587" s="109"/>
      <c r="BI587" s="109"/>
      <c r="BJ587" s="109"/>
      <c r="BK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63"/>
      <c r="J588" s="109"/>
      <c r="K588" s="109"/>
      <c r="L588" s="109"/>
      <c r="M588" s="109"/>
      <c r="N588" s="109"/>
      <c r="O588" s="164"/>
      <c r="P588" s="165"/>
      <c r="Q588" s="165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  <c r="AO588" s="109"/>
      <c r="AP588" s="109"/>
      <c r="AQ588" s="109"/>
      <c r="AR588" s="109"/>
      <c r="AS588" s="109"/>
      <c r="AT588" s="109"/>
      <c r="AU588" s="109"/>
      <c r="AV588" s="109"/>
      <c r="AW588" s="109"/>
      <c r="AX588" s="109"/>
      <c r="AY588" s="109"/>
      <c r="AZ588" s="109"/>
      <c r="BA588" s="109"/>
      <c r="BB588" s="109"/>
      <c r="BC588" s="109"/>
      <c r="BD588" s="109"/>
      <c r="BE588" s="109"/>
      <c r="BF588" s="109"/>
      <c r="BG588" s="109"/>
      <c r="BH588" s="109"/>
      <c r="BI588" s="109"/>
      <c r="BJ588" s="109"/>
      <c r="BK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63"/>
      <c r="J589" s="109"/>
      <c r="K589" s="109"/>
      <c r="L589" s="109"/>
      <c r="M589" s="109"/>
      <c r="N589" s="109"/>
      <c r="O589" s="164"/>
      <c r="P589" s="165"/>
      <c r="Q589" s="165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Q589" s="109"/>
      <c r="AR589" s="109"/>
      <c r="AS589" s="109"/>
      <c r="AT589" s="109"/>
      <c r="AU589" s="109"/>
      <c r="AV589" s="109"/>
      <c r="AW589" s="109"/>
      <c r="AX589" s="109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63"/>
      <c r="J590" s="109"/>
      <c r="K590" s="109"/>
      <c r="L590" s="109"/>
      <c r="M590" s="109"/>
      <c r="N590" s="109"/>
      <c r="O590" s="164"/>
      <c r="P590" s="165"/>
      <c r="Q590" s="165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109"/>
      <c r="AR590" s="109"/>
      <c r="AS590" s="109"/>
      <c r="AT590" s="109"/>
      <c r="AU590" s="109"/>
      <c r="AV590" s="109"/>
      <c r="AW590" s="109"/>
      <c r="AX590" s="109"/>
      <c r="AY590" s="109"/>
      <c r="AZ590" s="109"/>
      <c r="BA590" s="109"/>
      <c r="BB590" s="109"/>
      <c r="BC590" s="109"/>
      <c r="BD590" s="109"/>
      <c r="BE590" s="109"/>
      <c r="BF590" s="109"/>
      <c r="BG590" s="109"/>
      <c r="BH590" s="109"/>
      <c r="BI590" s="109"/>
      <c r="BJ590" s="109"/>
      <c r="BK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63"/>
      <c r="J591" s="109"/>
      <c r="K591" s="109"/>
      <c r="L591" s="109"/>
      <c r="M591" s="109"/>
      <c r="N591" s="109"/>
      <c r="O591" s="164"/>
      <c r="P591" s="165"/>
      <c r="Q591" s="165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109"/>
      <c r="AR591" s="109"/>
      <c r="AS591" s="109"/>
      <c r="AT591" s="109"/>
      <c r="AU591" s="109"/>
      <c r="AV591" s="109"/>
      <c r="AW591" s="109"/>
      <c r="AX591" s="109"/>
      <c r="AY591" s="109"/>
      <c r="AZ591" s="109"/>
      <c r="BA591" s="109"/>
      <c r="BB591" s="109"/>
      <c r="BC591" s="109"/>
      <c r="BD591" s="109"/>
      <c r="BE591" s="109"/>
      <c r="BF591" s="109"/>
      <c r="BG591" s="109"/>
      <c r="BH591" s="109"/>
      <c r="BI591" s="109"/>
      <c r="BJ591" s="109"/>
      <c r="BK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63"/>
      <c r="J592" s="109"/>
      <c r="K592" s="109"/>
      <c r="L592" s="109"/>
      <c r="M592" s="109"/>
      <c r="N592" s="109"/>
      <c r="O592" s="164"/>
      <c r="P592" s="165"/>
      <c r="Q592" s="165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Q592" s="109"/>
      <c r="AR592" s="109"/>
      <c r="AS592" s="109"/>
      <c r="AT592" s="109"/>
      <c r="AU592" s="109"/>
      <c r="AV592" s="109"/>
      <c r="AW592" s="109"/>
      <c r="AX592" s="109"/>
      <c r="AY592" s="109"/>
      <c r="AZ592" s="109"/>
      <c r="BA592" s="109"/>
      <c r="BB592" s="109"/>
      <c r="BC592" s="109"/>
      <c r="BD592" s="109"/>
      <c r="BE592" s="109"/>
      <c r="BF592" s="109"/>
      <c r="BG592" s="109"/>
      <c r="BH592" s="109"/>
      <c r="BI592" s="109"/>
      <c r="BJ592" s="109"/>
      <c r="BK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63"/>
      <c r="J593" s="109"/>
      <c r="K593" s="109"/>
      <c r="L593" s="109"/>
      <c r="M593" s="109"/>
      <c r="N593" s="109"/>
      <c r="O593" s="164"/>
      <c r="P593" s="165"/>
      <c r="Q593" s="165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109"/>
      <c r="AR593" s="109"/>
      <c r="AS593" s="109"/>
      <c r="AT593" s="109"/>
      <c r="AU593" s="109"/>
      <c r="AV593" s="109"/>
      <c r="AW593" s="109"/>
      <c r="AX593" s="109"/>
      <c r="AY593" s="109"/>
      <c r="AZ593" s="109"/>
      <c r="BA593" s="109"/>
      <c r="BB593" s="109"/>
      <c r="BC593" s="109"/>
      <c r="BD593" s="109"/>
      <c r="BE593" s="109"/>
      <c r="BF593" s="109"/>
      <c r="BG593" s="109"/>
      <c r="BH593" s="109"/>
      <c r="BI593" s="109"/>
      <c r="BJ593" s="109"/>
      <c r="BK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63"/>
      <c r="J594" s="109"/>
      <c r="K594" s="109"/>
      <c r="L594" s="109"/>
      <c r="M594" s="109"/>
      <c r="N594" s="109"/>
      <c r="O594" s="164"/>
      <c r="P594" s="165"/>
      <c r="Q594" s="165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109"/>
      <c r="AR594" s="109"/>
      <c r="AS594" s="109"/>
      <c r="AT594" s="109"/>
      <c r="AU594" s="109"/>
      <c r="AV594" s="109"/>
      <c r="AW594" s="109"/>
      <c r="AX594" s="109"/>
      <c r="AY594" s="109"/>
      <c r="AZ594" s="109"/>
      <c r="BA594" s="109"/>
      <c r="BB594" s="109"/>
      <c r="BC594" s="109"/>
      <c r="BD594" s="109"/>
      <c r="BE594" s="109"/>
      <c r="BF594" s="109"/>
      <c r="BG594" s="109"/>
      <c r="BH594" s="109"/>
      <c r="BI594" s="109"/>
      <c r="BJ594" s="109"/>
      <c r="BK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63"/>
      <c r="J595" s="109"/>
      <c r="K595" s="109"/>
      <c r="L595" s="109"/>
      <c r="M595" s="109"/>
      <c r="N595" s="109"/>
      <c r="O595" s="164"/>
      <c r="P595" s="165"/>
      <c r="Q595" s="165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Q595" s="109"/>
      <c r="AR595" s="109"/>
      <c r="AS595" s="109"/>
      <c r="AT595" s="109"/>
      <c r="AU595" s="109"/>
      <c r="AV595" s="109"/>
      <c r="AW595" s="109"/>
      <c r="AX595" s="109"/>
      <c r="AY595" s="109"/>
      <c r="AZ595" s="109"/>
      <c r="BA595" s="109"/>
      <c r="BB595" s="109"/>
      <c r="BC595" s="109"/>
      <c r="BD595" s="109"/>
      <c r="BE595" s="109"/>
      <c r="BF595" s="109"/>
      <c r="BG595" s="109"/>
      <c r="BH595" s="109"/>
      <c r="BI595" s="109"/>
      <c r="BJ595" s="109"/>
      <c r="BK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63"/>
      <c r="J596" s="109"/>
      <c r="K596" s="109"/>
      <c r="L596" s="109"/>
      <c r="M596" s="109"/>
      <c r="N596" s="109"/>
      <c r="O596" s="164"/>
      <c r="P596" s="165"/>
      <c r="Q596" s="165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109"/>
      <c r="AR596" s="109"/>
      <c r="AS596" s="109"/>
      <c r="AT596" s="109"/>
      <c r="AU596" s="109"/>
      <c r="AV596" s="109"/>
      <c r="AW596" s="109"/>
      <c r="AX596" s="109"/>
      <c r="AY596" s="109"/>
      <c r="AZ596" s="109"/>
      <c r="BA596" s="109"/>
      <c r="BB596" s="109"/>
      <c r="BC596" s="109"/>
      <c r="BD596" s="109"/>
      <c r="BE596" s="109"/>
      <c r="BF596" s="109"/>
      <c r="BG596" s="109"/>
      <c r="BH596" s="109"/>
      <c r="BI596" s="109"/>
      <c r="BJ596" s="109"/>
      <c r="BK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63"/>
      <c r="J597" s="109"/>
      <c r="K597" s="109"/>
      <c r="L597" s="109"/>
      <c r="M597" s="109"/>
      <c r="N597" s="109"/>
      <c r="O597" s="164"/>
      <c r="P597" s="165"/>
      <c r="Q597" s="165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109"/>
      <c r="AR597" s="109"/>
      <c r="AS597" s="109"/>
      <c r="AT597" s="109"/>
      <c r="AU597" s="109"/>
      <c r="AV597" s="109"/>
      <c r="AW597" s="109"/>
      <c r="AX597" s="109"/>
      <c r="AY597" s="109"/>
      <c r="AZ597" s="109"/>
      <c r="BA597" s="109"/>
      <c r="BB597" s="109"/>
      <c r="BC597" s="109"/>
      <c r="BD597" s="109"/>
      <c r="BE597" s="109"/>
      <c r="BF597" s="109"/>
      <c r="BG597" s="109"/>
      <c r="BH597" s="109"/>
      <c r="BI597" s="109"/>
      <c r="BJ597" s="109"/>
      <c r="BK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63"/>
      <c r="J598" s="109"/>
      <c r="K598" s="109"/>
      <c r="L598" s="109"/>
      <c r="M598" s="109"/>
      <c r="N598" s="109"/>
      <c r="O598" s="164"/>
      <c r="P598" s="165"/>
      <c r="Q598" s="165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  <c r="AO598" s="109"/>
      <c r="AP598" s="109"/>
      <c r="AQ598" s="109"/>
      <c r="AR598" s="109"/>
      <c r="AS598" s="109"/>
      <c r="AT598" s="109"/>
      <c r="AU598" s="109"/>
      <c r="AV598" s="109"/>
      <c r="AW598" s="109"/>
      <c r="AX598" s="109"/>
      <c r="AY598" s="109"/>
      <c r="AZ598" s="109"/>
      <c r="BA598" s="109"/>
      <c r="BB598" s="109"/>
      <c r="BC598" s="109"/>
      <c r="BD598" s="109"/>
      <c r="BE598" s="109"/>
      <c r="BF598" s="109"/>
      <c r="BG598" s="109"/>
      <c r="BH598" s="109"/>
      <c r="BI598" s="109"/>
      <c r="BJ598" s="109"/>
      <c r="BK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63"/>
      <c r="J599" s="109"/>
      <c r="K599" s="109"/>
      <c r="L599" s="109"/>
      <c r="M599" s="109"/>
      <c r="N599" s="109"/>
      <c r="O599" s="164"/>
      <c r="P599" s="165"/>
      <c r="Q599" s="165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Q599" s="109"/>
      <c r="AR599" s="109"/>
      <c r="AS599" s="109"/>
      <c r="AT599" s="109"/>
      <c r="AU599" s="109"/>
      <c r="AV599" s="109"/>
      <c r="AW599" s="109"/>
      <c r="AX599" s="109"/>
      <c r="AY599" s="109"/>
      <c r="AZ599" s="109"/>
      <c r="BA599" s="109"/>
      <c r="BB599" s="109"/>
      <c r="BC599" s="109"/>
      <c r="BD599" s="109"/>
      <c r="BE599" s="109"/>
      <c r="BF599" s="109"/>
      <c r="BG599" s="109"/>
      <c r="BH599" s="109"/>
      <c r="BI599" s="109"/>
      <c r="BJ599" s="109"/>
      <c r="BK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63"/>
      <c r="J600" s="109"/>
      <c r="K600" s="109"/>
      <c r="L600" s="109"/>
      <c r="M600" s="109"/>
      <c r="N600" s="109"/>
      <c r="O600" s="164"/>
      <c r="P600" s="165"/>
      <c r="Q600" s="165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109"/>
      <c r="AR600" s="109"/>
      <c r="AS600" s="109"/>
      <c r="AT600" s="109"/>
      <c r="AU600" s="109"/>
      <c r="AV600" s="109"/>
      <c r="AW600" s="109"/>
      <c r="AX600" s="109"/>
      <c r="AY600" s="109"/>
      <c r="AZ600" s="109"/>
      <c r="BA600" s="109"/>
      <c r="BB600" s="109"/>
      <c r="BC600" s="109"/>
      <c r="BD600" s="109"/>
      <c r="BE600" s="109"/>
      <c r="BF600" s="109"/>
      <c r="BG600" s="109"/>
      <c r="BH600" s="109"/>
      <c r="BI600" s="109"/>
      <c r="BJ600" s="109"/>
      <c r="BK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63"/>
      <c r="J601" s="109"/>
      <c r="K601" s="109"/>
      <c r="L601" s="109"/>
      <c r="M601" s="109"/>
      <c r="N601" s="109"/>
      <c r="O601" s="164"/>
      <c r="P601" s="165"/>
      <c r="Q601" s="165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109"/>
      <c r="AR601" s="109"/>
      <c r="AS601" s="109"/>
      <c r="AT601" s="109"/>
      <c r="AU601" s="109"/>
      <c r="AV601" s="109"/>
      <c r="AW601" s="109"/>
      <c r="AX601" s="109"/>
      <c r="AY601" s="109"/>
      <c r="AZ601" s="109"/>
      <c r="BA601" s="109"/>
      <c r="BB601" s="109"/>
      <c r="BC601" s="109"/>
      <c r="BD601" s="109"/>
      <c r="BE601" s="109"/>
      <c r="BF601" s="109"/>
      <c r="BG601" s="109"/>
      <c r="BH601" s="109"/>
      <c r="BI601" s="109"/>
      <c r="BJ601" s="109"/>
      <c r="BK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63"/>
      <c r="J602" s="109"/>
      <c r="K602" s="109"/>
      <c r="L602" s="109"/>
      <c r="M602" s="109"/>
      <c r="N602" s="109"/>
      <c r="O602" s="164"/>
      <c r="P602" s="165"/>
      <c r="Q602" s="165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  <c r="AO602" s="109"/>
      <c r="AP602" s="109"/>
      <c r="AQ602" s="109"/>
      <c r="AR602" s="109"/>
      <c r="AS602" s="109"/>
      <c r="AT602" s="109"/>
      <c r="AU602" s="109"/>
      <c r="AV602" s="109"/>
      <c r="AW602" s="109"/>
      <c r="AX602" s="109"/>
      <c r="AY602" s="109"/>
      <c r="AZ602" s="109"/>
      <c r="BA602" s="109"/>
      <c r="BB602" s="109"/>
      <c r="BC602" s="109"/>
      <c r="BD602" s="109"/>
      <c r="BE602" s="109"/>
      <c r="BF602" s="109"/>
      <c r="BG602" s="109"/>
      <c r="BH602" s="109"/>
      <c r="BI602" s="109"/>
      <c r="BJ602" s="109"/>
      <c r="BK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63"/>
      <c r="J603" s="109"/>
      <c r="K603" s="109"/>
      <c r="L603" s="109"/>
      <c r="M603" s="109"/>
      <c r="N603" s="109"/>
      <c r="O603" s="164"/>
      <c r="P603" s="165"/>
      <c r="Q603" s="165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Q603" s="109"/>
      <c r="AR603" s="109"/>
      <c r="AS603" s="109"/>
      <c r="AT603" s="109"/>
      <c r="AU603" s="109"/>
      <c r="AV603" s="109"/>
      <c r="AW603" s="109"/>
      <c r="AX603" s="109"/>
      <c r="AY603" s="109"/>
      <c r="AZ603" s="109"/>
      <c r="BA603" s="109"/>
      <c r="BB603" s="109"/>
      <c r="BC603" s="109"/>
      <c r="BD603" s="109"/>
      <c r="BE603" s="109"/>
      <c r="BF603" s="109"/>
      <c r="BG603" s="109"/>
      <c r="BH603" s="109"/>
      <c r="BI603" s="109"/>
      <c r="BJ603" s="109"/>
      <c r="BK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63"/>
      <c r="J604" s="109"/>
      <c r="K604" s="109"/>
      <c r="L604" s="109"/>
      <c r="M604" s="109"/>
      <c r="N604" s="109"/>
      <c r="O604" s="164"/>
      <c r="P604" s="165"/>
      <c r="Q604" s="165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Q604" s="109"/>
      <c r="AR604" s="109"/>
      <c r="AS604" s="109"/>
      <c r="AT604" s="109"/>
      <c r="AU604" s="109"/>
      <c r="AV604" s="109"/>
      <c r="AW604" s="109"/>
      <c r="AX604" s="109"/>
      <c r="AY604" s="109"/>
      <c r="AZ604" s="109"/>
      <c r="BA604" s="109"/>
      <c r="BB604" s="109"/>
      <c r="BC604" s="109"/>
      <c r="BD604" s="109"/>
      <c r="BE604" s="109"/>
      <c r="BF604" s="109"/>
      <c r="BG604" s="109"/>
      <c r="BH604" s="109"/>
      <c r="BI604" s="109"/>
      <c r="BJ604" s="109"/>
      <c r="BK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63"/>
      <c r="J605" s="109"/>
      <c r="K605" s="109"/>
      <c r="L605" s="109"/>
      <c r="M605" s="109"/>
      <c r="N605" s="109"/>
      <c r="O605" s="164"/>
      <c r="P605" s="165"/>
      <c r="Q605" s="165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Q605" s="109"/>
      <c r="AR605" s="109"/>
      <c r="AS605" s="109"/>
      <c r="AT605" s="109"/>
      <c r="AU605" s="109"/>
      <c r="AV605" s="109"/>
      <c r="AW605" s="109"/>
      <c r="AX605" s="109"/>
      <c r="AY605" s="109"/>
      <c r="AZ605" s="109"/>
      <c r="BA605" s="109"/>
      <c r="BB605" s="109"/>
      <c r="BC605" s="109"/>
      <c r="BD605" s="109"/>
      <c r="BE605" s="109"/>
      <c r="BF605" s="109"/>
      <c r="BG605" s="109"/>
      <c r="BH605" s="109"/>
      <c r="BI605" s="109"/>
      <c r="BJ605" s="109"/>
      <c r="BK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63"/>
      <c r="J606" s="109"/>
      <c r="K606" s="109"/>
      <c r="L606" s="109"/>
      <c r="M606" s="109"/>
      <c r="N606" s="109"/>
      <c r="O606" s="164"/>
      <c r="P606" s="165"/>
      <c r="Q606" s="165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Q606" s="109"/>
      <c r="AR606" s="109"/>
      <c r="AS606" s="109"/>
      <c r="AT606" s="109"/>
      <c r="AU606" s="109"/>
      <c r="AV606" s="109"/>
      <c r="AW606" s="109"/>
      <c r="AX606" s="109"/>
      <c r="AY606" s="109"/>
      <c r="AZ606" s="109"/>
      <c r="BA606" s="109"/>
      <c r="BB606" s="109"/>
      <c r="BC606" s="109"/>
      <c r="BD606" s="109"/>
      <c r="BE606" s="109"/>
      <c r="BF606" s="109"/>
      <c r="BG606" s="109"/>
      <c r="BH606" s="109"/>
      <c r="BI606" s="109"/>
      <c r="BJ606" s="109"/>
      <c r="BK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63"/>
      <c r="J607" s="109"/>
      <c r="K607" s="109"/>
      <c r="L607" s="109"/>
      <c r="M607" s="109"/>
      <c r="N607" s="109"/>
      <c r="O607" s="164"/>
      <c r="P607" s="165"/>
      <c r="Q607" s="165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Q607" s="109"/>
      <c r="AR607" s="109"/>
      <c r="AS607" s="109"/>
      <c r="AT607" s="109"/>
      <c r="AU607" s="109"/>
      <c r="AV607" s="109"/>
      <c r="AW607" s="109"/>
      <c r="AX607" s="109"/>
      <c r="AY607" s="109"/>
      <c r="AZ607" s="109"/>
      <c r="BA607" s="109"/>
      <c r="BB607" s="109"/>
      <c r="BC607" s="109"/>
      <c r="BD607" s="109"/>
      <c r="BE607" s="109"/>
      <c r="BF607" s="109"/>
      <c r="BG607" s="109"/>
      <c r="BH607" s="109"/>
      <c r="BI607" s="109"/>
      <c r="BJ607" s="109"/>
      <c r="BK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63"/>
      <c r="J608" s="109"/>
      <c r="K608" s="109"/>
      <c r="L608" s="109"/>
      <c r="M608" s="109"/>
      <c r="N608" s="109"/>
      <c r="O608" s="164"/>
      <c r="P608" s="165"/>
      <c r="Q608" s="165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  <c r="AO608" s="109"/>
      <c r="AP608" s="109"/>
      <c r="AQ608" s="109"/>
      <c r="AR608" s="109"/>
      <c r="AS608" s="109"/>
      <c r="AT608" s="109"/>
      <c r="AU608" s="109"/>
      <c r="AV608" s="109"/>
      <c r="AW608" s="109"/>
      <c r="AX608" s="109"/>
      <c r="AY608" s="109"/>
      <c r="AZ608" s="109"/>
      <c r="BA608" s="109"/>
      <c r="BB608" s="109"/>
      <c r="BC608" s="109"/>
      <c r="BD608" s="109"/>
      <c r="BE608" s="109"/>
      <c r="BF608" s="109"/>
      <c r="BG608" s="109"/>
      <c r="BH608" s="109"/>
      <c r="BI608" s="109"/>
      <c r="BJ608" s="109"/>
      <c r="BK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63"/>
      <c r="J609" s="109"/>
      <c r="K609" s="109"/>
      <c r="L609" s="109"/>
      <c r="M609" s="109"/>
      <c r="N609" s="109"/>
      <c r="O609" s="164"/>
      <c r="P609" s="165"/>
      <c r="Q609" s="165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  <c r="AO609" s="109"/>
      <c r="AP609" s="109"/>
      <c r="AQ609" s="109"/>
      <c r="AR609" s="109"/>
      <c r="AS609" s="109"/>
      <c r="AT609" s="109"/>
      <c r="AU609" s="109"/>
      <c r="AV609" s="109"/>
      <c r="AW609" s="109"/>
      <c r="AX609" s="109"/>
      <c r="AY609" s="109"/>
      <c r="AZ609" s="109"/>
      <c r="BA609" s="109"/>
      <c r="BB609" s="109"/>
      <c r="BC609" s="109"/>
      <c r="BD609" s="109"/>
      <c r="BE609" s="109"/>
      <c r="BF609" s="109"/>
      <c r="BG609" s="109"/>
      <c r="BH609" s="109"/>
      <c r="BI609" s="109"/>
      <c r="BJ609" s="109"/>
      <c r="BK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63"/>
      <c r="J610" s="109"/>
      <c r="K610" s="109"/>
      <c r="L610" s="109"/>
      <c r="M610" s="109"/>
      <c r="N610" s="109"/>
      <c r="O610" s="164"/>
      <c r="P610" s="165"/>
      <c r="Q610" s="165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  <c r="AO610" s="109"/>
      <c r="AP610" s="109"/>
      <c r="AQ610" s="109"/>
      <c r="AR610" s="109"/>
      <c r="AS610" s="109"/>
      <c r="AT610" s="109"/>
      <c r="AU610" s="109"/>
      <c r="AV610" s="109"/>
      <c r="AW610" s="109"/>
      <c r="AX610" s="109"/>
      <c r="AY610" s="109"/>
      <c r="AZ610" s="109"/>
      <c r="BA610" s="109"/>
      <c r="BB610" s="109"/>
      <c r="BC610" s="109"/>
      <c r="BD610" s="109"/>
      <c r="BE610" s="109"/>
      <c r="BF610" s="109"/>
      <c r="BG610" s="109"/>
      <c r="BH610" s="109"/>
      <c r="BI610" s="109"/>
      <c r="BJ610" s="109"/>
      <c r="BK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63"/>
      <c r="J611" s="109"/>
      <c r="K611" s="109"/>
      <c r="L611" s="109"/>
      <c r="M611" s="109"/>
      <c r="N611" s="109"/>
      <c r="O611" s="164"/>
      <c r="P611" s="165"/>
      <c r="Q611" s="165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  <c r="AO611" s="109"/>
      <c r="AP611" s="109"/>
      <c r="AQ611" s="109"/>
      <c r="AR611" s="109"/>
      <c r="AS611" s="109"/>
      <c r="AT611" s="109"/>
      <c r="AU611" s="109"/>
      <c r="AV611" s="109"/>
      <c r="AW611" s="109"/>
      <c r="AX611" s="109"/>
      <c r="AY611" s="109"/>
      <c r="AZ611" s="109"/>
      <c r="BA611" s="109"/>
      <c r="BB611" s="109"/>
      <c r="BC611" s="109"/>
      <c r="BD611" s="109"/>
      <c r="BE611" s="109"/>
      <c r="BF611" s="109"/>
      <c r="BG611" s="109"/>
      <c r="BH611" s="109"/>
      <c r="BI611" s="109"/>
      <c r="BJ611" s="109"/>
      <c r="BK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63"/>
      <c r="J612" s="109"/>
      <c r="K612" s="109"/>
      <c r="L612" s="109"/>
      <c r="M612" s="109"/>
      <c r="N612" s="109"/>
      <c r="O612" s="164"/>
      <c r="P612" s="165"/>
      <c r="Q612" s="165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  <c r="AO612" s="109"/>
      <c r="AP612" s="109"/>
      <c r="AQ612" s="109"/>
      <c r="AR612" s="109"/>
      <c r="AS612" s="109"/>
      <c r="AT612" s="109"/>
      <c r="AU612" s="109"/>
      <c r="AV612" s="109"/>
      <c r="AW612" s="109"/>
      <c r="AX612" s="109"/>
      <c r="AY612" s="109"/>
      <c r="AZ612" s="109"/>
      <c r="BA612" s="109"/>
      <c r="BB612" s="109"/>
      <c r="BC612" s="109"/>
      <c r="BD612" s="109"/>
      <c r="BE612" s="109"/>
      <c r="BF612" s="109"/>
      <c r="BG612" s="109"/>
      <c r="BH612" s="109"/>
      <c r="BI612" s="109"/>
      <c r="BJ612" s="109"/>
      <c r="BK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63"/>
      <c r="J613" s="109"/>
      <c r="K613" s="109"/>
      <c r="L613" s="109"/>
      <c r="M613" s="109"/>
      <c r="N613" s="109"/>
      <c r="O613" s="164"/>
      <c r="P613" s="165"/>
      <c r="Q613" s="165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09"/>
      <c r="AR613" s="109"/>
      <c r="AS613" s="109"/>
      <c r="AT613" s="109"/>
      <c r="AU613" s="109"/>
      <c r="AV613" s="109"/>
      <c r="AW613" s="109"/>
      <c r="AX613" s="109"/>
      <c r="AY613" s="109"/>
      <c r="AZ613" s="109"/>
      <c r="BA613" s="109"/>
      <c r="BB613" s="109"/>
      <c r="BC613" s="109"/>
      <c r="BD613" s="109"/>
      <c r="BE613" s="109"/>
      <c r="BF613" s="109"/>
      <c r="BG613" s="109"/>
      <c r="BH613" s="109"/>
      <c r="BI613" s="109"/>
      <c r="BJ613" s="109"/>
      <c r="BK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63"/>
      <c r="J614" s="109"/>
      <c r="K614" s="109"/>
      <c r="L614" s="109"/>
      <c r="M614" s="109"/>
      <c r="N614" s="109"/>
      <c r="O614" s="164"/>
      <c r="P614" s="165"/>
      <c r="Q614" s="165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Q614" s="109"/>
      <c r="AR614" s="109"/>
      <c r="AS614" s="109"/>
      <c r="AT614" s="109"/>
      <c r="AU614" s="109"/>
      <c r="AV614" s="109"/>
      <c r="AW614" s="109"/>
      <c r="AX614" s="109"/>
      <c r="AY614" s="109"/>
      <c r="AZ614" s="109"/>
      <c r="BA614" s="109"/>
      <c r="BB614" s="109"/>
      <c r="BC614" s="109"/>
      <c r="BD614" s="109"/>
      <c r="BE614" s="109"/>
      <c r="BF614" s="109"/>
      <c r="BG614" s="109"/>
      <c r="BH614" s="109"/>
      <c r="BI614" s="109"/>
      <c r="BJ614" s="109"/>
      <c r="BK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63"/>
      <c r="J615" s="109"/>
      <c r="K615" s="109"/>
      <c r="L615" s="109"/>
      <c r="M615" s="109"/>
      <c r="N615" s="109"/>
      <c r="O615" s="164"/>
      <c r="P615" s="165"/>
      <c r="Q615" s="165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Q615" s="109"/>
      <c r="AR615" s="109"/>
      <c r="AS615" s="109"/>
      <c r="AT615" s="109"/>
      <c r="AU615" s="109"/>
      <c r="AV615" s="109"/>
      <c r="AW615" s="109"/>
      <c r="AX615" s="109"/>
      <c r="AY615" s="109"/>
      <c r="AZ615" s="109"/>
      <c r="BA615" s="109"/>
      <c r="BB615" s="109"/>
      <c r="BC615" s="109"/>
      <c r="BD615" s="109"/>
      <c r="BE615" s="109"/>
      <c r="BF615" s="109"/>
      <c r="BG615" s="109"/>
      <c r="BH615" s="109"/>
      <c r="BI615" s="109"/>
      <c r="BJ615" s="109"/>
      <c r="BK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63"/>
      <c r="J616" s="109"/>
      <c r="K616" s="109"/>
      <c r="L616" s="109"/>
      <c r="M616" s="109"/>
      <c r="N616" s="109"/>
      <c r="O616" s="164"/>
      <c r="P616" s="165"/>
      <c r="Q616" s="165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Q616" s="109"/>
      <c r="AR616" s="109"/>
      <c r="AS616" s="109"/>
      <c r="AT616" s="109"/>
      <c r="AU616" s="109"/>
      <c r="AV616" s="109"/>
      <c r="AW616" s="109"/>
      <c r="AX616" s="109"/>
      <c r="AY616" s="109"/>
      <c r="AZ616" s="109"/>
      <c r="BA616" s="109"/>
      <c r="BB616" s="109"/>
      <c r="BC616" s="109"/>
      <c r="BD616" s="109"/>
      <c r="BE616" s="109"/>
      <c r="BF616" s="109"/>
      <c r="BG616" s="109"/>
      <c r="BH616" s="109"/>
      <c r="BI616" s="109"/>
      <c r="BJ616" s="109"/>
      <c r="BK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63"/>
      <c r="J617" s="109"/>
      <c r="K617" s="109"/>
      <c r="L617" s="109"/>
      <c r="M617" s="109"/>
      <c r="N617" s="109"/>
      <c r="O617" s="164"/>
      <c r="P617" s="165"/>
      <c r="Q617" s="165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63"/>
      <c r="J618" s="109"/>
      <c r="K618" s="109"/>
      <c r="L618" s="109"/>
      <c r="M618" s="109"/>
      <c r="N618" s="109"/>
      <c r="O618" s="164"/>
      <c r="P618" s="165"/>
      <c r="Q618" s="165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109"/>
      <c r="AR618" s="109"/>
      <c r="AS618" s="109"/>
      <c r="AT618" s="109"/>
      <c r="AU618" s="109"/>
      <c r="AV618" s="109"/>
      <c r="AW618" s="109"/>
      <c r="AX618" s="109"/>
      <c r="AY618" s="109"/>
      <c r="AZ618" s="109"/>
      <c r="BA618" s="109"/>
      <c r="BB618" s="109"/>
      <c r="BC618" s="109"/>
      <c r="BD618" s="109"/>
      <c r="BE618" s="109"/>
      <c r="BF618" s="109"/>
      <c r="BG618" s="109"/>
      <c r="BH618" s="109"/>
      <c r="BI618" s="109"/>
      <c r="BJ618" s="109"/>
      <c r="BK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63"/>
      <c r="J619" s="109"/>
      <c r="K619" s="109"/>
      <c r="L619" s="109"/>
      <c r="M619" s="109"/>
      <c r="N619" s="109"/>
      <c r="O619" s="164"/>
      <c r="P619" s="165"/>
      <c r="Q619" s="165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  <c r="AO619" s="109"/>
      <c r="AP619" s="109"/>
      <c r="AQ619" s="109"/>
      <c r="AR619" s="109"/>
      <c r="AS619" s="109"/>
      <c r="AT619" s="109"/>
      <c r="AU619" s="109"/>
      <c r="AV619" s="109"/>
      <c r="AW619" s="109"/>
      <c r="AX619" s="109"/>
      <c r="AY619" s="109"/>
      <c r="AZ619" s="109"/>
      <c r="BA619" s="109"/>
      <c r="BB619" s="109"/>
      <c r="BC619" s="109"/>
      <c r="BD619" s="109"/>
      <c r="BE619" s="109"/>
      <c r="BF619" s="109"/>
      <c r="BG619" s="109"/>
      <c r="BH619" s="109"/>
      <c r="BI619" s="109"/>
      <c r="BJ619" s="109"/>
      <c r="BK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63"/>
      <c r="J620" s="109"/>
      <c r="K620" s="109"/>
      <c r="L620" s="109"/>
      <c r="M620" s="109"/>
      <c r="N620" s="109"/>
      <c r="O620" s="164"/>
      <c r="P620" s="165"/>
      <c r="Q620" s="165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Q620" s="109"/>
      <c r="AR620" s="109"/>
      <c r="AS620" s="109"/>
      <c r="AT620" s="109"/>
      <c r="AU620" s="109"/>
      <c r="AV620" s="109"/>
      <c r="AW620" s="109"/>
      <c r="AX620" s="109"/>
      <c r="AY620" s="109"/>
      <c r="AZ620" s="109"/>
      <c r="BA620" s="109"/>
      <c r="BB620" s="109"/>
      <c r="BC620" s="109"/>
      <c r="BD620" s="109"/>
      <c r="BE620" s="109"/>
      <c r="BF620" s="109"/>
      <c r="BG620" s="109"/>
      <c r="BH620" s="109"/>
      <c r="BI620" s="109"/>
      <c r="BJ620" s="109"/>
      <c r="BK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63"/>
      <c r="J621" s="109"/>
      <c r="K621" s="109"/>
      <c r="L621" s="109"/>
      <c r="M621" s="109"/>
      <c r="N621" s="109"/>
      <c r="O621" s="164"/>
      <c r="P621" s="165"/>
      <c r="Q621" s="165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109"/>
      <c r="AR621" s="109"/>
      <c r="AS621" s="109"/>
      <c r="AT621" s="109"/>
      <c r="AU621" s="109"/>
      <c r="AV621" s="109"/>
      <c r="AW621" s="109"/>
      <c r="AX621" s="109"/>
      <c r="AY621" s="109"/>
      <c r="AZ621" s="109"/>
      <c r="BA621" s="109"/>
      <c r="BB621" s="109"/>
      <c r="BC621" s="109"/>
      <c r="BD621" s="109"/>
      <c r="BE621" s="109"/>
      <c r="BF621" s="109"/>
      <c r="BG621" s="109"/>
      <c r="BH621" s="109"/>
      <c r="BI621" s="109"/>
      <c r="BJ621" s="109"/>
      <c r="BK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63"/>
      <c r="J622" s="109"/>
      <c r="K622" s="109"/>
      <c r="L622" s="109"/>
      <c r="M622" s="109"/>
      <c r="N622" s="109"/>
      <c r="O622" s="164"/>
      <c r="P622" s="165"/>
      <c r="Q622" s="165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Q622" s="109"/>
      <c r="AR622" s="109"/>
      <c r="AS622" s="109"/>
      <c r="AT622" s="109"/>
      <c r="AU622" s="109"/>
      <c r="AV622" s="109"/>
      <c r="AW622" s="109"/>
      <c r="AX622" s="109"/>
      <c r="AY622" s="109"/>
      <c r="AZ622" s="109"/>
      <c r="BA622" s="109"/>
      <c r="BB622" s="109"/>
      <c r="BC622" s="109"/>
      <c r="BD622" s="109"/>
      <c r="BE622" s="109"/>
      <c r="BF622" s="109"/>
      <c r="BG622" s="109"/>
      <c r="BH622" s="109"/>
      <c r="BI622" s="109"/>
      <c r="BJ622" s="109"/>
      <c r="BK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63"/>
      <c r="J623" s="109"/>
      <c r="K623" s="109"/>
      <c r="L623" s="109"/>
      <c r="M623" s="109"/>
      <c r="N623" s="109"/>
      <c r="O623" s="164"/>
      <c r="P623" s="165"/>
      <c r="Q623" s="165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Q623" s="109"/>
      <c r="AR623" s="109"/>
      <c r="AS623" s="109"/>
      <c r="AT623" s="109"/>
      <c r="AU623" s="109"/>
      <c r="AV623" s="109"/>
      <c r="AW623" s="109"/>
      <c r="AX623" s="109"/>
      <c r="AY623" s="109"/>
      <c r="AZ623" s="109"/>
      <c r="BA623" s="109"/>
      <c r="BB623" s="109"/>
      <c r="BC623" s="109"/>
      <c r="BD623" s="109"/>
      <c r="BE623" s="109"/>
      <c r="BF623" s="109"/>
      <c r="BG623" s="109"/>
      <c r="BH623" s="109"/>
      <c r="BI623" s="109"/>
      <c r="BJ623" s="109"/>
      <c r="BK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63"/>
      <c r="J624" s="109"/>
      <c r="K624" s="109"/>
      <c r="L624" s="109"/>
      <c r="M624" s="109"/>
      <c r="N624" s="109"/>
      <c r="O624" s="164"/>
      <c r="P624" s="165"/>
      <c r="Q624" s="165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  <c r="AO624" s="109"/>
      <c r="AP624" s="109"/>
      <c r="AQ624" s="109"/>
      <c r="AR624" s="109"/>
      <c r="AS624" s="109"/>
      <c r="AT624" s="109"/>
      <c r="AU624" s="109"/>
      <c r="AV624" s="109"/>
      <c r="AW624" s="109"/>
      <c r="AX624" s="109"/>
      <c r="AY624" s="109"/>
      <c r="AZ624" s="109"/>
      <c r="BA624" s="109"/>
      <c r="BB624" s="109"/>
      <c r="BC624" s="109"/>
      <c r="BD624" s="109"/>
      <c r="BE624" s="109"/>
      <c r="BF624" s="109"/>
      <c r="BG624" s="109"/>
      <c r="BH624" s="109"/>
      <c r="BI624" s="109"/>
      <c r="BJ624" s="109"/>
      <c r="BK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63"/>
      <c r="J625" s="109"/>
      <c r="K625" s="109"/>
      <c r="L625" s="109"/>
      <c r="M625" s="109"/>
      <c r="N625" s="109"/>
      <c r="O625" s="164"/>
      <c r="P625" s="165"/>
      <c r="Q625" s="165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  <c r="AO625" s="109"/>
      <c r="AP625" s="109"/>
      <c r="AQ625" s="109"/>
      <c r="AR625" s="109"/>
      <c r="AS625" s="109"/>
      <c r="AT625" s="109"/>
      <c r="AU625" s="109"/>
      <c r="AV625" s="109"/>
      <c r="AW625" s="109"/>
      <c r="AX625" s="109"/>
      <c r="AY625" s="109"/>
      <c r="AZ625" s="109"/>
      <c r="BA625" s="109"/>
      <c r="BB625" s="109"/>
      <c r="BC625" s="109"/>
      <c r="BD625" s="109"/>
      <c r="BE625" s="109"/>
      <c r="BF625" s="109"/>
      <c r="BG625" s="109"/>
      <c r="BH625" s="109"/>
      <c r="BI625" s="109"/>
      <c r="BJ625" s="109"/>
      <c r="BK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63"/>
      <c r="J626" s="109"/>
      <c r="K626" s="109"/>
      <c r="L626" s="109"/>
      <c r="M626" s="109"/>
      <c r="N626" s="109"/>
      <c r="O626" s="164"/>
      <c r="P626" s="165"/>
      <c r="Q626" s="165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  <c r="AO626" s="109"/>
      <c r="AP626" s="109"/>
      <c r="AQ626" s="109"/>
      <c r="AR626" s="109"/>
      <c r="AS626" s="109"/>
      <c r="AT626" s="109"/>
      <c r="AU626" s="109"/>
      <c r="AV626" s="109"/>
      <c r="AW626" s="109"/>
      <c r="AX626" s="109"/>
      <c r="AY626" s="109"/>
      <c r="AZ626" s="109"/>
      <c r="BA626" s="109"/>
      <c r="BB626" s="109"/>
      <c r="BC626" s="109"/>
      <c r="BD626" s="109"/>
      <c r="BE626" s="109"/>
      <c r="BF626" s="109"/>
      <c r="BG626" s="109"/>
      <c r="BH626" s="109"/>
      <c r="BI626" s="109"/>
      <c r="BJ626" s="109"/>
      <c r="BK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63"/>
      <c r="J627" s="109"/>
      <c r="K627" s="109"/>
      <c r="L627" s="109"/>
      <c r="M627" s="109"/>
      <c r="N627" s="109"/>
      <c r="O627" s="164"/>
      <c r="P627" s="165"/>
      <c r="Q627" s="165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  <c r="AO627" s="109"/>
      <c r="AP627" s="109"/>
      <c r="AQ627" s="109"/>
      <c r="AR627" s="109"/>
      <c r="AS627" s="109"/>
      <c r="AT627" s="109"/>
      <c r="AU627" s="109"/>
      <c r="AV627" s="109"/>
      <c r="AW627" s="109"/>
      <c r="AX627" s="109"/>
      <c r="AY627" s="109"/>
      <c r="AZ627" s="109"/>
      <c r="BA627" s="109"/>
      <c r="BB627" s="109"/>
      <c r="BC627" s="109"/>
      <c r="BD627" s="109"/>
      <c r="BE627" s="109"/>
      <c r="BF627" s="109"/>
      <c r="BG627" s="109"/>
      <c r="BH627" s="109"/>
      <c r="BI627" s="109"/>
      <c r="BJ627" s="109"/>
      <c r="BK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63"/>
      <c r="J628" s="109"/>
      <c r="K628" s="109"/>
      <c r="L628" s="109"/>
      <c r="M628" s="109"/>
      <c r="N628" s="109"/>
      <c r="O628" s="164"/>
      <c r="P628" s="165"/>
      <c r="Q628" s="165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  <c r="AO628" s="109"/>
      <c r="AP628" s="109"/>
      <c r="AQ628" s="109"/>
      <c r="AR628" s="109"/>
      <c r="AS628" s="109"/>
      <c r="AT628" s="109"/>
      <c r="AU628" s="109"/>
      <c r="AV628" s="109"/>
      <c r="AW628" s="109"/>
      <c r="AX628" s="109"/>
      <c r="AY628" s="109"/>
      <c r="AZ628" s="109"/>
      <c r="BA628" s="109"/>
      <c r="BB628" s="109"/>
      <c r="BC628" s="109"/>
      <c r="BD628" s="109"/>
      <c r="BE628" s="109"/>
      <c r="BF628" s="109"/>
      <c r="BG628" s="109"/>
      <c r="BH628" s="109"/>
      <c r="BI628" s="109"/>
      <c r="BJ628" s="109"/>
      <c r="BK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63"/>
      <c r="J629" s="109"/>
      <c r="K629" s="109"/>
      <c r="L629" s="109"/>
      <c r="M629" s="109"/>
      <c r="N629" s="109"/>
      <c r="O629" s="164"/>
      <c r="P629" s="165"/>
      <c r="Q629" s="165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  <c r="AO629" s="109"/>
      <c r="AP629" s="109"/>
      <c r="AQ629" s="109"/>
      <c r="AR629" s="109"/>
      <c r="AS629" s="109"/>
      <c r="AT629" s="109"/>
      <c r="AU629" s="109"/>
      <c r="AV629" s="109"/>
      <c r="AW629" s="109"/>
      <c r="AX629" s="109"/>
      <c r="AY629" s="109"/>
      <c r="AZ629" s="109"/>
      <c r="BA629" s="109"/>
      <c r="BB629" s="109"/>
      <c r="BC629" s="109"/>
      <c r="BD629" s="109"/>
      <c r="BE629" s="109"/>
      <c r="BF629" s="109"/>
      <c r="BG629" s="109"/>
      <c r="BH629" s="109"/>
      <c r="BI629" s="109"/>
      <c r="BJ629" s="109"/>
      <c r="BK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63"/>
      <c r="J630" s="109"/>
      <c r="K630" s="109"/>
      <c r="L630" s="109"/>
      <c r="M630" s="109"/>
      <c r="N630" s="109"/>
      <c r="O630" s="164"/>
      <c r="P630" s="165"/>
      <c r="Q630" s="165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  <c r="AO630" s="109"/>
      <c r="AP630" s="109"/>
      <c r="AQ630" s="109"/>
      <c r="AR630" s="109"/>
      <c r="AS630" s="109"/>
      <c r="AT630" s="109"/>
      <c r="AU630" s="109"/>
      <c r="AV630" s="109"/>
      <c r="AW630" s="109"/>
      <c r="AX630" s="109"/>
      <c r="AY630" s="109"/>
      <c r="AZ630" s="109"/>
      <c r="BA630" s="109"/>
      <c r="BB630" s="109"/>
      <c r="BC630" s="109"/>
      <c r="BD630" s="109"/>
      <c r="BE630" s="109"/>
      <c r="BF630" s="109"/>
      <c r="BG630" s="109"/>
      <c r="BH630" s="109"/>
      <c r="BI630" s="109"/>
      <c r="BJ630" s="109"/>
      <c r="BK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63"/>
      <c r="J631" s="109"/>
      <c r="K631" s="109"/>
      <c r="L631" s="109"/>
      <c r="M631" s="109"/>
      <c r="N631" s="109"/>
      <c r="O631" s="164"/>
      <c r="P631" s="165"/>
      <c r="Q631" s="165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  <c r="AO631" s="109"/>
      <c r="AP631" s="109"/>
      <c r="AQ631" s="109"/>
      <c r="AR631" s="109"/>
      <c r="AS631" s="109"/>
      <c r="AT631" s="109"/>
      <c r="AU631" s="109"/>
      <c r="AV631" s="109"/>
      <c r="AW631" s="109"/>
      <c r="AX631" s="109"/>
      <c r="AY631" s="109"/>
      <c r="AZ631" s="109"/>
      <c r="BA631" s="109"/>
      <c r="BB631" s="109"/>
      <c r="BC631" s="109"/>
      <c r="BD631" s="109"/>
      <c r="BE631" s="109"/>
      <c r="BF631" s="109"/>
      <c r="BG631" s="109"/>
      <c r="BH631" s="109"/>
      <c r="BI631" s="109"/>
      <c r="BJ631" s="109"/>
      <c r="BK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63"/>
      <c r="J632" s="109"/>
      <c r="K632" s="109"/>
      <c r="L632" s="109"/>
      <c r="M632" s="109"/>
      <c r="N632" s="109"/>
      <c r="O632" s="164"/>
      <c r="P632" s="165"/>
      <c r="Q632" s="165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09"/>
      <c r="AR632" s="109"/>
      <c r="AS632" s="109"/>
      <c r="AT632" s="109"/>
      <c r="AU632" s="109"/>
      <c r="AV632" s="109"/>
      <c r="AW632" s="109"/>
      <c r="AX632" s="109"/>
      <c r="AY632" s="109"/>
      <c r="AZ632" s="109"/>
      <c r="BA632" s="109"/>
      <c r="BB632" s="109"/>
      <c r="BC632" s="109"/>
      <c r="BD632" s="109"/>
      <c r="BE632" s="109"/>
      <c r="BF632" s="109"/>
      <c r="BG632" s="109"/>
      <c r="BH632" s="109"/>
      <c r="BI632" s="109"/>
      <c r="BJ632" s="109"/>
      <c r="BK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63"/>
      <c r="J633" s="109"/>
      <c r="K633" s="109"/>
      <c r="L633" s="109"/>
      <c r="M633" s="109"/>
      <c r="N633" s="109"/>
      <c r="O633" s="164"/>
      <c r="P633" s="165"/>
      <c r="Q633" s="165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  <c r="AO633" s="109"/>
      <c r="AP633" s="109"/>
      <c r="AQ633" s="109"/>
      <c r="AR633" s="109"/>
      <c r="AS633" s="109"/>
      <c r="AT633" s="109"/>
      <c r="AU633" s="109"/>
      <c r="AV633" s="109"/>
      <c r="AW633" s="109"/>
      <c r="AX633" s="109"/>
      <c r="AY633" s="109"/>
      <c r="AZ633" s="109"/>
      <c r="BA633" s="109"/>
      <c r="BB633" s="109"/>
      <c r="BC633" s="109"/>
      <c r="BD633" s="109"/>
      <c r="BE633" s="109"/>
      <c r="BF633" s="109"/>
      <c r="BG633" s="109"/>
      <c r="BH633" s="109"/>
      <c r="BI633" s="109"/>
      <c r="BJ633" s="109"/>
      <c r="BK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63"/>
      <c r="J634" s="109"/>
      <c r="K634" s="109"/>
      <c r="L634" s="109"/>
      <c r="M634" s="109"/>
      <c r="N634" s="109"/>
      <c r="O634" s="164"/>
      <c r="P634" s="165"/>
      <c r="Q634" s="165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  <c r="AO634" s="109"/>
      <c r="AP634" s="109"/>
      <c r="AQ634" s="109"/>
      <c r="AR634" s="109"/>
      <c r="AS634" s="109"/>
      <c r="AT634" s="109"/>
      <c r="AU634" s="109"/>
      <c r="AV634" s="109"/>
      <c r="AW634" s="109"/>
      <c r="AX634" s="109"/>
      <c r="AY634" s="109"/>
      <c r="AZ634" s="109"/>
      <c r="BA634" s="109"/>
      <c r="BB634" s="109"/>
      <c r="BC634" s="109"/>
      <c r="BD634" s="109"/>
      <c r="BE634" s="109"/>
      <c r="BF634" s="109"/>
      <c r="BG634" s="109"/>
      <c r="BH634" s="109"/>
      <c r="BI634" s="109"/>
      <c r="BJ634" s="109"/>
      <c r="BK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63"/>
      <c r="J635" s="109"/>
      <c r="K635" s="109"/>
      <c r="L635" s="109"/>
      <c r="M635" s="109"/>
      <c r="N635" s="109"/>
      <c r="O635" s="164"/>
      <c r="P635" s="165"/>
      <c r="Q635" s="165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  <c r="AO635" s="109"/>
      <c r="AP635" s="109"/>
      <c r="AQ635" s="109"/>
      <c r="AR635" s="109"/>
      <c r="AS635" s="109"/>
      <c r="AT635" s="109"/>
      <c r="AU635" s="109"/>
      <c r="AV635" s="109"/>
      <c r="AW635" s="109"/>
      <c r="AX635" s="109"/>
      <c r="AY635" s="109"/>
      <c r="AZ635" s="109"/>
      <c r="BA635" s="109"/>
      <c r="BB635" s="109"/>
      <c r="BC635" s="109"/>
      <c r="BD635" s="109"/>
      <c r="BE635" s="109"/>
      <c r="BF635" s="109"/>
      <c r="BG635" s="109"/>
      <c r="BH635" s="109"/>
      <c r="BI635" s="109"/>
      <c r="BJ635" s="109"/>
      <c r="BK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63"/>
      <c r="J636" s="109"/>
      <c r="K636" s="109"/>
      <c r="L636" s="109"/>
      <c r="M636" s="109"/>
      <c r="N636" s="109"/>
      <c r="O636" s="164"/>
      <c r="P636" s="165"/>
      <c r="Q636" s="165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  <c r="AO636" s="109"/>
      <c r="AP636" s="109"/>
      <c r="AQ636" s="109"/>
      <c r="AR636" s="109"/>
      <c r="AS636" s="109"/>
      <c r="AT636" s="109"/>
      <c r="AU636" s="109"/>
      <c r="AV636" s="109"/>
      <c r="AW636" s="109"/>
      <c r="AX636" s="109"/>
      <c r="AY636" s="109"/>
      <c r="AZ636" s="109"/>
      <c r="BA636" s="109"/>
      <c r="BB636" s="109"/>
      <c r="BC636" s="109"/>
      <c r="BD636" s="109"/>
      <c r="BE636" s="109"/>
      <c r="BF636" s="109"/>
      <c r="BG636" s="109"/>
      <c r="BH636" s="109"/>
      <c r="BI636" s="109"/>
      <c r="BJ636" s="109"/>
      <c r="BK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63"/>
      <c r="J637" s="109"/>
      <c r="K637" s="109"/>
      <c r="L637" s="109"/>
      <c r="M637" s="109"/>
      <c r="N637" s="109"/>
      <c r="O637" s="164"/>
      <c r="P637" s="165"/>
      <c r="Q637" s="165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  <c r="AO637" s="109"/>
      <c r="AP637" s="109"/>
      <c r="AQ637" s="109"/>
      <c r="AR637" s="109"/>
      <c r="AS637" s="109"/>
      <c r="AT637" s="109"/>
      <c r="AU637" s="109"/>
      <c r="AV637" s="109"/>
      <c r="AW637" s="109"/>
      <c r="AX637" s="109"/>
      <c r="AY637" s="109"/>
      <c r="AZ637" s="109"/>
      <c r="BA637" s="109"/>
      <c r="BB637" s="109"/>
      <c r="BC637" s="109"/>
      <c r="BD637" s="109"/>
      <c r="BE637" s="109"/>
      <c r="BF637" s="109"/>
      <c r="BG637" s="109"/>
      <c r="BH637" s="109"/>
      <c r="BI637" s="109"/>
      <c r="BJ637" s="109"/>
      <c r="BK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63"/>
      <c r="J638" s="109"/>
      <c r="K638" s="109"/>
      <c r="L638" s="109"/>
      <c r="M638" s="109"/>
      <c r="N638" s="109"/>
      <c r="O638" s="164"/>
      <c r="P638" s="165"/>
      <c r="Q638" s="165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  <c r="AO638" s="109"/>
      <c r="AP638" s="109"/>
      <c r="AQ638" s="109"/>
      <c r="AR638" s="109"/>
      <c r="AS638" s="109"/>
      <c r="AT638" s="109"/>
      <c r="AU638" s="109"/>
      <c r="AV638" s="109"/>
      <c r="AW638" s="109"/>
      <c r="AX638" s="109"/>
      <c r="AY638" s="109"/>
      <c r="AZ638" s="109"/>
      <c r="BA638" s="109"/>
      <c r="BB638" s="109"/>
      <c r="BC638" s="109"/>
      <c r="BD638" s="109"/>
      <c r="BE638" s="109"/>
      <c r="BF638" s="109"/>
      <c r="BG638" s="109"/>
      <c r="BH638" s="109"/>
      <c r="BI638" s="109"/>
      <c r="BJ638" s="109"/>
      <c r="BK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63"/>
      <c r="J639" s="109"/>
      <c r="K639" s="109"/>
      <c r="L639" s="109"/>
      <c r="M639" s="109"/>
      <c r="N639" s="109"/>
      <c r="O639" s="164"/>
      <c r="P639" s="165"/>
      <c r="Q639" s="165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  <c r="AO639" s="109"/>
      <c r="AP639" s="109"/>
      <c r="AQ639" s="109"/>
      <c r="AR639" s="109"/>
      <c r="AS639" s="109"/>
      <c r="AT639" s="109"/>
      <c r="AU639" s="109"/>
      <c r="AV639" s="109"/>
      <c r="AW639" s="109"/>
      <c r="AX639" s="109"/>
      <c r="AY639" s="109"/>
      <c r="AZ639" s="109"/>
      <c r="BA639" s="109"/>
      <c r="BB639" s="109"/>
      <c r="BC639" s="109"/>
      <c r="BD639" s="109"/>
      <c r="BE639" s="109"/>
      <c r="BF639" s="109"/>
      <c r="BG639" s="109"/>
      <c r="BH639" s="109"/>
      <c r="BI639" s="109"/>
      <c r="BJ639" s="109"/>
      <c r="BK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63"/>
      <c r="J640" s="109"/>
      <c r="K640" s="109"/>
      <c r="L640" s="109"/>
      <c r="M640" s="109"/>
      <c r="N640" s="109"/>
      <c r="O640" s="164"/>
      <c r="P640" s="165"/>
      <c r="Q640" s="165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  <c r="AO640" s="109"/>
      <c r="AP640" s="109"/>
      <c r="AQ640" s="109"/>
      <c r="AR640" s="109"/>
      <c r="AS640" s="109"/>
      <c r="AT640" s="109"/>
      <c r="AU640" s="109"/>
      <c r="AV640" s="109"/>
      <c r="AW640" s="109"/>
      <c r="AX640" s="109"/>
      <c r="AY640" s="109"/>
      <c r="AZ640" s="109"/>
      <c r="BA640" s="109"/>
      <c r="BB640" s="109"/>
      <c r="BC640" s="109"/>
      <c r="BD640" s="109"/>
      <c r="BE640" s="109"/>
      <c r="BF640" s="109"/>
      <c r="BG640" s="109"/>
      <c r="BH640" s="109"/>
      <c r="BI640" s="109"/>
      <c r="BJ640" s="109"/>
      <c r="BK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63"/>
      <c r="J641" s="109"/>
      <c r="K641" s="109"/>
      <c r="L641" s="109"/>
      <c r="M641" s="109"/>
      <c r="N641" s="109"/>
      <c r="O641" s="164"/>
      <c r="P641" s="165"/>
      <c r="Q641" s="165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  <c r="AO641" s="109"/>
      <c r="AP641" s="109"/>
      <c r="AQ641" s="109"/>
      <c r="AR641" s="109"/>
      <c r="AS641" s="109"/>
      <c r="AT641" s="109"/>
      <c r="AU641" s="109"/>
      <c r="AV641" s="109"/>
      <c r="AW641" s="109"/>
      <c r="AX641" s="109"/>
      <c r="AY641" s="109"/>
      <c r="AZ641" s="109"/>
      <c r="BA641" s="109"/>
      <c r="BB641" s="109"/>
      <c r="BC641" s="109"/>
      <c r="BD641" s="109"/>
      <c r="BE641" s="109"/>
      <c r="BF641" s="109"/>
      <c r="BG641" s="109"/>
      <c r="BH641" s="109"/>
      <c r="BI641" s="109"/>
      <c r="BJ641" s="109"/>
      <c r="BK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63"/>
      <c r="J642" s="109"/>
      <c r="K642" s="109"/>
      <c r="L642" s="109"/>
      <c r="M642" s="109"/>
      <c r="N642" s="109"/>
      <c r="O642" s="164"/>
      <c r="P642" s="165"/>
      <c r="Q642" s="165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  <c r="AO642" s="109"/>
      <c r="AP642" s="109"/>
      <c r="AQ642" s="109"/>
      <c r="AR642" s="109"/>
      <c r="AS642" s="109"/>
      <c r="AT642" s="109"/>
      <c r="AU642" s="109"/>
      <c r="AV642" s="109"/>
      <c r="AW642" s="109"/>
      <c r="AX642" s="109"/>
      <c r="AY642" s="109"/>
      <c r="AZ642" s="109"/>
      <c r="BA642" s="109"/>
      <c r="BB642" s="109"/>
      <c r="BC642" s="109"/>
      <c r="BD642" s="109"/>
      <c r="BE642" s="109"/>
      <c r="BF642" s="109"/>
      <c r="BG642" s="109"/>
      <c r="BH642" s="109"/>
      <c r="BI642" s="109"/>
      <c r="BJ642" s="109"/>
      <c r="BK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63"/>
      <c r="J643" s="109"/>
      <c r="K643" s="109"/>
      <c r="L643" s="109"/>
      <c r="M643" s="109"/>
      <c r="N643" s="109"/>
      <c r="O643" s="164"/>
      <c r="P643" s="165"/>
      <c r="Q643" s="165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  <c r="AO643" s="109"/>
      <c r="AP643" s="109"/>
      <c r="AQ643" s="109"/>
      <c r="AR643" s="109"/>
      <c r="AS643" s="109"/>
      <c r="AT643" s="109"/>
      <c r="AU643" s="109"/>
      <c r="AV643" s="109"/>
      <c r="AW643" s="109"/>
      <c r="AX643" s="109"/>
      <c r="AY643" s="109"/>
      <c r="AZ643" s="109"/>
      <c r="BA643" s="109"/>
      <c r="BB643" s="109"/>
      <c r="BC643" s="109"/>
      <c r="BD643" s="109"/>
      <c r="BE643" s="109"/>
      <c r="BF643" s="109"/>
      <c r="BG643" s="109"/>
      <c r="BH643" s="109"/>
      <c r="BI643" s="109"/>
      <c r="BJ643" s="109"/>
      <c r="BK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63"/>
      <c r="J644" s="109"/>
      <c r="K644" s="109"/>
      <c r="L644" s="109"/>
      <c r="M644" s="109"/>
      <c r="N644" s="109"/>
      <c r="O644" s="164"/>
      <c r="P644" s="165"/>
      <c r="Q644" s="165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  <c r="AO644" s="109"/>
      <c r="AP644" s="109"/>
      <c r="AQ644" s="109"/>
      <c r="AR644" s="109"/>
      <c r="AS644" s="109"/>
      <c r="AT644" s="109"/>
      <c r="AU644" s="109"/>
      <c r="AV644" s="109"/>
      <c r="AW644" s="109"/>
      <c r="AX644" s="109"/>
      <c r="AY644" s="109"/>
      <c r="AZ644" s="109"/>
      <c r="BA644" s="109"/>
      <c r="BB644" s="109"/>
      <c r="BC644" s="109"/>
      <c r="BD644" s="109"/>
      <c r="BE644" s="109"/>
      <c r="BF644" s="109"/>
      <c r="BG644" s="109"/>
      <c r="BH644" s="109"/>
      <c r="BI644" s="109"/>
      <c r="BJ644" s="109"/>
      <c r="BK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63"/>
      <c r="J645" s="109"/>
      <c r="K645" s="109"/>
      <c r="L645" s="109"/>
      <c r="M645" s="109"/>
      <c r="N645" s="109"/>
      <c r="O645" s="164"/>
      <c r="P645" s="165"/>
      <c r="Q645" s="165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  <c r="AO645" s="109"/>
      <c r="AP645" s="109"/>
      <c r="AQ645" s="109"/>
      <c r="AR645" s="109"/>
      <c r="AS645" s="109"/>
      <c r="AT645" s="109"/>
      <c r="AU645" s="109"/>
      <c r="AV645" s="109"/>
      <c r="AW645" s="109"/>
      <c r="AX645" s="109"/>
      <c r="AY645" s="109"/>
      <c r="AZ645" s="109"/>
      <c r="BA645" s="109"/>
      <c r="BB645" s="109"/>
      <c r="BC645" s="109"/>
      <c r="BD645" s="109"/>
      <c r="BE645" s="109"/>
      <c r="BF645" s="109"/>
      <c r="BG645" s="109"/>
      <c r="BH645" s="109"/>
      <c r="BI645" s="109"/>
      <c r="BJ645" s="109"/>
      <c r="BK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63"/>
      <c r="J646" s="109"/>
      <c r="K646" s="109"/>
      <c r="L646" s="109"/>
      <c r="M646" s="109"/>
      <c r="N646" s="109"/>
      <c r="O646" s="164"/>
      <c r="P646" s="165"/>
      <c r="Q646" s="165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  <c r="AO646" s="109"/>
      <c r="AP646" s="109"/>
      <c r="AQ646" s="109"/>
      <c r="AR646" s="109"/>
      <c r="AS646" s="109"/>
      <c r="AT646" s="109"/>
      <c r="AU646" s="109"/>
      <c r="AV646" s="109"/>
      <c r="AW646" s="109"/>
      <c r="AX646" s="109"/>
      <c r="AY646" s="109"/>
      <c r="AZ646" s="109"/>
      <c r="BA646" s="109"/>
      <c r="BB646" s="109"/>
      <c r="BC646" s="109"/>
      <c r="BD646" s="109"/>
      <c r="BE646" s="109"/>
      <c r="BF646" s="109"/>
      <c r="BG646" s="109"/>
      <c r="BH646" s="109"/>
      <c r="BI646" s="109"/>
      <c r="BJ646" s="109"/>
      <c r="BK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63"/>
      <c r="J647" s="109"/>
      <c r="K647" s="109"/>
      <c r="L647" s="109"/>
      <c r="M647" s="109"/>
      <c r="N647" s="109"/>
      <c r="O647" s="164"/>
      <c r="P647" s="165"/>
      <c r="Q647" s="165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  <c r="AO647" s="109"/>
      <c r="AP647" s="109"/>
      <c r="AQ647" s="109"/>
      <c r="AR647" s="109"/>
      <c r="AS647" s="109"/>
      <c r="AT647" s="109"/>
      <c r="AU647" s="109"/>
      <c r="AV647" s="109"/>
      <c r="AW647" s="109"/>
      <c r="AX647" s="109"/>
      <c r="AY647" s="109"/>
      <c r="AZ647" s="109"/>
      <c r="BA647" s="109"/>
      <c r="BB647" s="109"/>
      <c r="BC647" s="109"/>
      <c r="BD647" s="109"/>
      <c r="BE647" s="109"/>
      <c r="BF647" s="109"/>
      <c r="BG647" s="109"/>
      <c r="BH647" s="109"/>
      <c r="BI647" s="109"/>
      <c r="BJ647" s="109"/>
      <c r="BK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63"/>
      <c r="J648" s="109"/>
      <c r="K648" s="109"/>
      <c r="L648" s="109"/>
      <c r="M648" s="109"/>
      <c r="N648" s="109"/>
      <c r="O648" s="164"/>
      <c r="P648" s="165"/>
      <c r="Q648" s="165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  <c r="AO648" s="109"/>
      <c r="AP648" s="109"/>
      <c r="AQ648" s="109"/>
      <c r="AR648" s="109"/>
      <c r="AS648" s="109"/>
      <c r="AT648" s="109"/>
      <c r="AU648" s="109"/>
      <c r="AV648" s="109"/>
      <c r="AW648" s="109"/>
      <c r="AX648" s="109"/>
      <c r="AY648" s="109"/>
      <c r="AZ648" s="109"/>
      <c r="BA648" s="109"/>
      <c r="BB648" s="109"/>
      <c r="BC648" s="109"/>
      <c r="BD648" s="109"/>
      <c r="BE648" s="109"/>
      <c r="BF648" s="109"/>
      <c r="BG648" s="109"/>
      <c r="BH648" s="109"/>
      <c r="BI648" s="109"/>
      <c r="BJ648" s="109"/>
      <c r="BK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63"/>
      <c r="J649" s="109"/>
      <c r="K649" s="109"/>
      <c r="L649" s="109"/>
      <c r="M649" s="109"/>
      <c r="N649" s="109"/>
      <c r="O649" s="164"/>
      <c r="P649" s="165"/>
      <c r="Q649" s="165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  <c r="AO649" s="109"/>
      <c r="AP649" s="109"/>
      <c r="AQ649" s="109"/>
      <c r="AR649" s="109"/>
      <c r="AS649" s="109"/>
      <c r="AT649" s="109"/>
      <c r="AU649" s="109"/>
      <c r="AV649" s="109"/>
      <c r="AW649" s="109"/>
      <c r="AX649" s="109"/>
      <c r="AY649" s="109"/>
      <c r="AZ649" s="109"/>
      <c r="BA649" s="109"/>
      <c r="BB649" s="109"/>
      <c r="BC649" s="109"/>
      <c r="BD649" s="109"/>
      <c r="BE649" s="109"/>
      <c r="BF649" s="109"/>
      <c r="BG649" s="109"/>
      <c r="BH649" s="109"/>
      <c r="BI649" s="109"/>
      <c r="BJ649" s="109"/>
      <c r="BK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63"/>
      <c r="J650" s="109"/>
      <c r="K650" s="109"/>
      <c r="L650" s="109"/>
      <c r="M650" s="109"/>
      <c r="N650" s="109"/>
      <c r="O650" s="164"/>
      <c r="P650" s="165"/>
      <c r="Q650" s="165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Q650" s="109"/>
      <c r="AR650" s="109"/>
      <c r="AS650" s="109"/>
      <c r="AT650" s="109"/>
      <c r="AU650" s="109"/>
      <c r="AV650" s="109"/>
      <c r="AW650" s="109"/>
      <c r="AX650" s="109"/>
      <c r="AY650" s="109"/>
      <c r="AZ650" s="109"/>
      <c r="BA650" s="109"/>
      <c r="BB650" s="109"/>
      <c r="BC650" s="109"/>
      <c r="BD650" s="109"/>
      <c r="BE650" s="109"/>
      <c r="BF650" s="109"/>
      <c r="BG650" s="109"/>
      <c r="BH650" s="109"/>
      <c r="BI650" s="109"/>
      <c r="BJ650" s="109"/>
      <c r="BK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63"/>
      <c r="J651" s="109"/>
      <c r="K651" s="109"/>
      <c r="L651" s="109"/>
      <c r="M651" s="109"/>
      <c r="N651" s="109"/>
      <c r="O651" s="164"/>
      <c r="P651" s="165"/>
      <c r="Q651" s="165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  <c r="AO651" s="109"/>
      <c r="AP651" s="109"/>
      <c r="AQ651" s="109"/>
      <c r="AR651" s="109"/>
      <c r="AS651" s="109"/>
      <c r="AT651" s="109"/>
      <c r="AU651" s="109"/>
      <c r="AV651" s="109"/>
      <c r="AW651" s="109"/>
      <c r="AX651" s="109"/>
      <c r="AY651" s="109"/>
      <c r="AZ651" s="109"/>
      <c r="BA651" s="109"/>
      <c r="BB651" s="109"/>
      <c r="BC651" s="109"/>
      <c r="BD651" s="109"/>
      <c r="BE651" s="109"/>
      <c r="BF651" s="109"/>
      <c r="BG651" s="109"/>
      <c r="BH651" s="109"/>
      <c r="BI651" s="109"/>
      <c r="BJ651" s="109"/>
      <c r="BK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63"/>
      <c r="J652" s="109"/>
      <c r="K652" s="109"/>
      <c r="L652" s="109"/>
      <c r="M652" s="109"/>
      <c r="N652" s="109"/>
      <c r="O652" s="164"/>
      <c r="P652" s="165"/>
      <c r="Q652" s="165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  <c r="AO652" s="109"/>
      <c r="AP652" s="109"/>
      <c r="AQ652" s="109"/>
      <c r="AR652" s="109"/>
      <c r="AS652" s="109"/>
      <c r="AT652" s="109"/>
      <c r="AU652" s="109"/>
      <c r="AV652" s="109"/>
      <c r="AW652" s="109"/>
      <c r="AX652" s="109"/>
      <c r="AY652" s="109"/>
      <c r="AZ652" s="109"/>
      <c r="BA652" s="109"/>
      <c r="BB652" s="109"/>
      <c r="BC652" s="109"/>
      <c r="BD652" s="109"/>
      <c r="BE652" s="109"/>
      <c r="BF652" s="109"/>
      <c r="BG652" s="109"/>
      <c r="BH652" s="109"/>
      <c r="BI652" s="109"/>
      <c r="BJ652" s="109"/>
      <c r="BK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63"/>
      <c r="J653" s="109"/>
      <c r="K653" s="109"/>
      <c r="L653" s="109"/>
      <c r="M653" s="109"/>
      <c r="N653" s="109"/>
      <c r="O653" s="164"/>
      <c r="P653" s="165"/>
      <c r="Q653" s="165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09"/>
      <c r="BK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63"/>
      <c r="J654" s="109"/>
      <c r="K654" s="109"/>
      <c r="L654" s="109"/>
      <c r="M654" s="109"/>
      <c r="N654" s="109"/>
      <c r="O654" s="164"/>
      <c r="P654" s="165"/>
      <c r="Q654" s="165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  <c r="AO654" s="109"/>
      <c r="AP654" s="109"/>
      <c r="AQ654" s="109"/>
      <c r="AR654" s="109"/>
      <c r="AS654" s="109"/>
      <c r="AT654" s="109"/>
      <c r="AU654" s="109"/>
      <c r="AV654" s="109"/>
      <c r="AW654" s="109"/>
      <c r="AX654" s="109"/>
      <c r="AY654" s="109"/>
      <c r="AZ654" s="109"/>
      <c r="BA654" s="109"/>
      <c r="BB654" s="109"/>
      <c r="BC654" s="109"/>
      <c r="BD654" s="109"/>
      <c r="BE654" s="109"/>
      <c r="BF654" s="109"/>
      <c r="BG654" s="109"/>
      <c r="BH654" s="109"/>
      <c r="BI654" s="109"/>
      <c r="BJ654" s="109"/>
      <c r="BK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63"/>
      <c r="J655" s="109"/>
      <c r="K655" s="109"/>
      <c r="L655" s="109"/>
      <c r="M655" s="109"/>
      <c r="N655" s="109"/>
      <c r="O655" s="164"/>
      <c r="P655" s="165"/>
      <c r="Q655" s="165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09"/>
      <c r="BK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63"/>
      <c r="J656" s="109"/>
      <c r="K656" s="109"/>
      <c r="L656" s="109"/>
      <c r="M656" s="109"/>
      <c r="N656" s="109"/>
      <c r="O656" s="164"/>
      <c r="P656" s="165"/>
      <c r="Q656" s="165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09"/>
      <c r="BK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63"/>
      <c r="J657" s="109"/>
      <c r="K657" s="109"/>
      <c r="L657" s="109"/>
      <c r="M657" s="109"/>
      <c r="N657" s="109"/>
      <c r="O657" s="164"/>
      <c r="P657" s="165"/>
      <c r="Q657" s="165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09"/>
      <c r="BK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63"/>
      <c r="J658" s="109"/>
      <c r="K658" s="109"/>
      <c r="L658" s="109"/>
      <c r="M658" s="109"/>
      <c r="N658" s="109"/>
      <c r="O658" s="164"/>
      <c r="P658" s="165"/>
      <c r="Q658" s="165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  <c r="AU658" s="109"/>
      <c r="AV658" s="109"/>
      <c r="AW658" s="109"/>
      <c r="AX658" s="109"/>
      <c r="AY658" s="109"/>
      <c r="AZ658" s="109"/>
      <c r="BA658" s="109"/>
      <c r="BB658" s="109"/>
      <c r="BC658" s="109"/>
      <c r="BD658" s="109"/>
      <c r="BE658" s="109"/>
      <c r="BF658" s="109"/>
      <c r="BG658" s="109"/>
      <c r="BH658" s="109"/>
      <c r="BI658" s="109"/>
      <c r="BJ658" s="109"/>
      <c r="BK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63"/>
      <c r="J659" s="109"/>
      <c r="K659" s="109"/>
      <c r="L659" s="109"/>
      <c r="M659" s="109"/>
      <c r="N659" s="109"/>
      <c r="O659" s="164"/>
      <c r="P659" s="165"/>
      <c r="Q659" s="165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  <c r="AU659" s="109"/>
      <c r="AV659" s="109"/>
      <c r="AW659" s="109"/>
      <c r="AX659" s="109"/>
      <c r="AY659" s="109"/>
      <c r="AZ659" s="109"/>
      <c r="BA659" s="109"/>
      <c r="BB659" s="109"/>
      <c r="BC659" s="109"/>
      <c r="BD659" s="109"/>
      <c r="BE659" s="109"/>
      <c r="BF659" s="109"/>
      <c r="BG659" s="109"/>
      <c r="BH659" s="109"/>
      <c r="BI659" s="109"/>
      <c r="BJ659" s="109"/>
      <c r="BK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63"/>
      <c r="J660" s="109"/>
      <c r="K660" s="109"/>
      <c r="L660" s="109"/>
      <c r="M660" s="109"/>
      <c r="N660" s="109"/>
      <c r="O660" s="164"/>
      <c r="P660" s="165"/>
      <c r="Q660" s="165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  <c r="AO660" s="109"/>
      <c r="AP660" s="109"/>
      <c r="AQ660" s="109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9"/>
      <c r="BD660" s="109"/>
      <c r="BE660" s="109"/>
      <c r="BF660" s="109"/>
      <c r="BG660" s="109"/>
      <c r="BH660" s="109"/>
      <c r="BI660" s="109"/>
      <c r="BJ660" s="109"/>
      <c r="BK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63"/>
      <c r="J661" s="109"/>
      <c r="K661" s="109"/>
      <c r="L661" s="109"/>
      <c r="M661" s="109"/>
      <c r="N661" s="109"/>
      <c r="O661" s="164"/>
      <c r="P661" s="165"/>
      <c r="Q661" s="165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  <c r="AO661" s="109"/>
      <c r="AP661" s="109"/>
      <c r="AQ661" s="109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9"/>
      <c r="BD661" s="109"/>
      <c r="BE661" s="109"/>
      <c r="BF661" s="109"/>
      <c r="BG661" s="109"/>
      <c r="BH661" s="109"/>
      <c r="BI661" s="109"/>
      <c r="BJ661" s="109"/>
      <c r="BK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63"/>
      <c r="J662" s="109"/>
      <c r="K662" s="109"/>
      <c r="L662" s="109"/>
      <c r="M662" s="109"/>
      <c r="N662" s="109"/>
      <c r="O662" s="164"/>
      <c r="P662" s="165"/>
      <c r="Q662" s="165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  <c r="BG662" s="109"/>
      <c r="BH662" s="109"/>
      <c r="BI662" s="109"/>
      <c r="BJ662" s="109"/>
      <c r="BK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63"/>
      <c r="J663" s="109"/>
      <c r="K663" s="109"/>
      <c r="L663" s="109"/>
      <c r="M663" s="109"/>
      <c r="N663" s="109"/>
      <c r="O663" s="164"/>
      <c r="P663" s="165"/>
      <c r="Q663" s="165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  <c r="AO663" s="109"/>
      <c r="AP663" s="109"/>
      <c r="AQ663" s="109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9"/>
      <c r="BD663" s="109"/>
      <c r="BE663" s="109"/>
      <c r="BF663" s="109"/>
      <c r="BG663" s="109"/>
      <c r="BH663" s="109"/>
      <c r="BI663" s="109"/>
      <c r="BJ663" s="109"/>
      <c r="BK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63"/>
      <c r="J664" s="109"/>
      <c r="K664" s="109"/>
      <c r="L664" s="109"/>
      <c r="M664" s="109"/>
      <c r="N664" s="109"/>
      <c r="O664" s="164"/>
      <c r="P664" s="165"/>
      <c r="Q664" s="165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  <c r="AO664" s="109"/>
      <c r="AP664" s="109"/>
      <c r="AQ664" s="109"/>
      <c r="AR664" s="109"/>
      <c r="AS664" s="109"/>
      <c r="AT664" s="109"/>
      <c r="AU664" s="109"/>
      <c r="AV664" s="109"/>
      <c r="AW664" s="109"/>
      <c r="AX664" s="109"/>
      <c r="AY664" s="109"/>
      <c r="AZ664" s="109"/>
      <c r="BA664" s="109"/>
      <c r="BB664" s="109"/>
      <c r="BC664" s="109"/>
      <c r="BD664" s="109"/>
      <c r="BE664" s="109"/>
      <c r="BF664" s="109"/>
      <c r="BG664" s="109"/>
      <c r="BH664" s="109"/>
      <c r="BI664" s="109"/>
      <c r="BJ664" s="109"/>
      <c r="BK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63"/>
      <c r="J665" s="109"/>
      <c r="K665" s="109"/>
      <c r="L665" s="109"/>
      <c r="M665" s="109"/>
      <c r="N665" s="109"/>
      <c r="O665" s="164"/>
      <c r="P665" s="165"/>
      <c r="Q665" s="165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  <c r="AO665" s="109"/>
      <c r="AP665" s="109"/>
      <c r="AQ665" s="109"/>
      <c r="AR665" s="109"/>
      <c r="AS665" s="109"/>
      <c r="AT665" s="109"/>
      <c r="AU665" s="109"/>
      <c r="AV665" s="109"/>
      <c r="AW665" s="109"/>
      <c r="AX665" s="109"/>
      <c r="AY665" s="109"/>
      <c r="AZ665" s="109"/>
      <c r="BA665" s="109"/>
      <c r="BB665" s="109"/>
      <c r="BC665" s="109"/>
      <c r="BD665" s="109"/>
      <c r="BE665" s="109"/>
      <c r="BF665" s="109"/>
      <c r="BG665" s="109"/>
      <c r="BH665" s="109"/>
      <c r="BI665" s="109"/>
      <c r="BJ665" s="109"/>
      <c r="BK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63"/>
      <c r="J666" s="109"/>
      <c r="K666" s="109"/>
      <c r="L666" s="109"/>
      <c r="M666" s="109"/>
      <c r="N666" s="109"/>
      <c r="O666" s="164"/>
      <c r="P666" s="165"/>
      <c r="Q666" s="165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  <c r="AO666" s="109"/>
      <c r="AP666" s="109"/>
      <c r="AQ666" s="109"/>
      <c r="AR666" s="109"/>
      <c r="AS666" s="109"/>
      <c r="AT666" s="109"/>
      <c r="AU666" s="109"/>
      <c r="AV666" s="109"/>
      <c r="AW666" s="109"/>
      <c r="AX666" s="109"/>
      <c r="AY666" s="109"/>
      <c r="AZ666" s="109"/>
      <c r="BA666" s="109"/>
      <c r="BB666" s="109"/>
      <c r="BC666" s="109"/>
      <c r="BD666" s="109"/>
      <c r="BE666" s="109"/>
      <c r="BF666" s="109"/>
      <c r="BG666" s="109"/>
      <c r="BH666" s="109"/>
      <c r="BI666" s="109"/>
      <c r="BJ666" s="109"/>
      <c r="BK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63"/>
      <c r="J667" s="109"/>
      <c r="K667" s="109"/>
      <c r="L667" s="109"/>
      <c r="M667" s="109"/>
      <c r="N667" s="109"/>
      <c r="O667" s="164"/>
      <c r="P667" s="165"/>
      <c r="Q667" s="165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  <c r="AO667" s="109"/>
      <c r="AP667" s="109"/>
      <c r="AQ667" s="109"/>
      <c r="AR667" s="109"/>
      <c r="AS667" s="109"/>
      <c r="AT667" s="109"/>
      <c r="AU667" s="109"/>
      <c r="AV667" s="109"/>
      <c r="AW667" s="109"/>
      <c r="AX667" s="109"/>
      <c r="AY667" s="109"/>
      <c r="AZ667" s="109"/>
      <c r="BA667" s="109"/>
      <c r="BB667" s="109"/>
      <c r="BC667" s="109"/>
      <c r="BD667" s="109"/>
      <c r="BE667" s="109"/>
      <c r="BF667" s="109"/>
      <c r="BG667" s="109"/>
      <c r="BH667" s="109"/>
      <c r="BI667" s="109"/>
      <c r="BJ667" s="109"/>
      <c r="BK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63"/>
      <c r="J668" s="109"/>
      <c r="K668" s="109"/>
      <c r="L668" s="109"/>
      <c r="M668" s="109"/>
      <c r="N668" s="109"/>
      <c r="O668" s="164"/>
      <c r="P668" s="165"/>
      <c r="Q668" s="165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  <c r="AO668" s="109"/>
      <c r="AP668" s="109"/>
      <c r="AQ668" s="109"/>
      <c r="AR668" s="109"/>
      <c r="AS668" s="109"/>
      <c r="AT668" s="109"/>
      <c r="AU668" s="109"/>
      <c r="AV668" s="109"/>
      <c r="AW668" s="109"/>
      <c r="AX668" s="109"/>
      <c r="AY668" s="109"/>
      <c r="AZ668" s="109"/>
      <c r="BA668" s="109"/>
      <c r="BB668" s="109"/>
      <c r="BC668" s="109"/>
      <c r="BD668" s="109"/>
      <c r="BE668" s="109"/>
      <c r="BF668" s="109"/>
      <c r="BG668" s="109"/>
      <c r="BH668" s="109"/>
      <c r="BI668" s="109"/>
      <c r="BJ668" s="109"/>
      <c r="BK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63"/>
      <c r="J669" s="109"/>
      <c r="K669" s="109"/>
      <c r="L669" s="109"/>
      <c r="M669" s="109"/>
      <c r="N669" s="109"/>
      <c r="O669" s="164"/>
      <c r="P669" s="165"/>
      <c r="Q669" s="165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  <c r="AO669" s="109"/>
      <c r="AP669" s="109"/>
      <c r="AQ669" s="109"/>
      <c r="AR669" s="109"/>
      <c r="AS669" s="109"/>
      <c r="AT669" s="109"/>
      <c r="AU669" s="109"/>
      <c r="AV669" s="109"/>
      <c r="AW669" s="109"/>
      <c r="AX669" s="109"/>
      <c r="AY669" s="109"/>
      <c r="AZ669" s="109"/>
      <c r="BA669" s="109"/>
      <c r="BB669" s="109"/>
      <c r="BC669" s="109"/>
      <c r="BD669" s="109"/>
      <c r="BE669" s="109"/>
      <c r="BF669" s="109"/>
      <c r="BG669" s="109"/>
      <c r="BH669" s="109"/>
      <c r="BI669" s="109"/>
      <c r="BJ669" s="109"/>
      <c r="BK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63"/>
      <c r="J670" s="109"/>
      <c r="K670" s="109"/>
      <c r="L670" s="109"/>
      <c r="M670" s="109"/>
      <c r="N670" s="109"/>
      <c r="O670" s="164"/>
      <c r="P670" s="165"/>
      <c r="Q670" s="165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  <c r="AO670" s="109"/>
      <c r="AP670" s="109"/>
      <c r="AQ670" s="109"/>
      <c r="AR670" s="109"/>
      <c r="AS670" s="109"/>
      <c r="AT670" s="109"/>
      <c r="AU670" s="109"/>
      <c r="AV670" s="109"/>
      <c r="AW670" s="109"/>
      <c r="AX670" s="109"/>
      <c r="AY670" s="109"/>
      <c r="AZ670" s="109"/>
      <c r="BA670" s="109"/>
      <c r="BB670" s="109"/>
      <c r="BC670" s="109"/>
      <c r="BD670" s="109"/>
      <c r="BE670" s="109"/>
      <c r="BF670" s="109"/>
      <c r="BG670" s="109"/>
      <c r="BH670" s="109"/>
      <c r="BI670" s="109"/>
      <c r="BJ670" s="109"/>
      <c r="BK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63"/>
      <c r="J671" s="109"/>
      <c r="K671" s="109"/>
      <c r="L671" s="109"/>
      <c r="M671" s="109"/>
      <c r="N671" s="109"/>
      <c r="O671" s="164"/>
      <c r="P671" s="165"/>
      <c r="Q671" s="165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  <c r="AO671" s="109"/>
      <c r="AP671" s="109"/>
      <c r="AQ671" s="109"/>
      <c r="AR671" s="109"/>
      <c r="AS671" s="109"/>
      <c r="AT671" s="109"/>
      <c r="AU671" s="109"/>
      <c r="AV671" s="109"/>
      <c r="AW671" s="109"/>
      <c r="AX671" s="109"/>
      <c r="AY671" s="109"/>
      <c r="AZ671" s="109"/>
      <c r="BA671" s="109"/>
      <c r="BB671" s="109"/>
      <c r="BC671" s="109"/>
      <c r="BD671" s="109"/>
      <c r="BE671" s="109"/>
      <c r="BF671" s="109"/>
      <c r="BG671" s="109"/>
      <c r="BH671" s="109"/>
      <c r="BI671" s="109"/>
      <c r="BJ671" s="109"/>
      <c r="BK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63"/>
      <c r="J672" s="109"/>
      <c r="K672" s="109"/>
      <c r="L672" s="109"/>
      <c r="M672" s="109"/>
      <c r="N672" s="109"/>
      <c r="O672" s="164"/>
      <c r="P672" s="165"/>
      <c r="Q672" s="165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  <c r="AO672" s="109"/>
      <c r="AP672" s="109"/>
      <c r="AQ672" s="109"/>
      <c r="AR672" s="109"/>
      <c r="AS672" s="109"/>
      <c r="AT672" s="109"/>
      <c r="AU672" s="109"/>
      <c r="AV672" s="109"/>
      <c r="AW672" s="109"/>
      <c r="AX672" s="109"/>
      <c r="AY672" s="109"/>
      <c r="AZ672" s="109"/>
      <c r="BA672" s="109"/>
      <c r="BB672" s="109"/>
      <c r="BC672" s="109"/>
      <c r="BD672" s="109"/>
      <c r="BE672" s="109"/>
      <c r="BF672" s="109"/>
      <c r="BG672" s="109"/>
      <c r="BH672" s="109"/>
      <c r="BI672" s="109"/>
      <c r="BJ672" s="109"/>
      <c r="BK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63"/>
      <c r="J673" s="109"/>
      <c r="K673" s="109"/>
      <c r="L673" s="109"/>
      <c r="M673" s="109"/>
      <c r="N673" s="109"/>
      <c r="O673" s="164"/>
      <c r="P673" s="165"/>
      <c r="Q673" s="165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  <c r="AO673" s="109"/>
      <c r="AP673" s="109"/>
      <c r="AQ673" s="109"/>
      <c r="AR673" s="109"/>
      <c r="AS673" s="109"/>
      <c r="AT673" s="109"/>
      <c r="AU673" s="109"/>
      <c r="AV673" s="109"/>
      <c r="AW673" s="109"/>
      <c r="AX673" s="109"/>
      <c r="AY673" s="109"/>
      <c r="AZ673" s="109"/>
      <c r="BA673" s="109"/>
      <c r="BB673" s="109"/>
      <c r="BC673" s="109"/>
      <c r="BD673" s="109"/>
      <c r="BE673" s="109"/>
      <c r="BF673" s="109"/>
      <c r="BG673" s="109"/>
      <c r="BH673" s="109"/>
      <c r="BI673" s="109"/>
      <c r="BJ673" s="109"/>
      <c r="BK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63"/>
      <c r="J674" s="109"/>
      <c r="K674" s="109"/>
      <c r="L674" s="109"/>
      <c r="M674" s="109"/>
      <c r="N674" s="109"/>
      <c r="O674" s="164"/>
      <c r="P674" s="165"/>
      <c r="Q674" s="165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  <c r="AO674" s="109"/>
      <c r="AP674" s="109"/>
      <c r="AQ674" s="109"/>
      <c r="AR674" s="109"/>
      <c r="AS674" s="109"/>
      <c r="AT674" s="109"/>
      <c r="AU674" s="109"/>
      <c r="AV674" s="109"/>
      <c r="AW674" s="109"/>
      <c r="AX674" s="109"/>
      <c r="AY674" s="109"/>
      <c r="AZ674" s="109"/>
      <c r="BA674" s="109"/>
      <c r="BB674" s="109"/>
      <c r="BC674" s="109"/>
      <c r="BD674" s="109"/>
      <c r="BE674" s="109"/>
      <c r="BF674" s="109"/>
      <c r="BG674" s="109"/>
      <c r="BH674" s="109"/>
      <c r="BI674" s="109"/>
      <c r="BJ674" s="109"/>
      <c r="BK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63"/>
      <c r="J675" s="109"/>
      <c r="K675" s="109"/>
      <c r="L675" s="109"/>
      <c r="M675" s="109"/>
      <c r="N675" s="109"/>
      <c r="O675" s="164"/>
      <c r="P675" s="165"/>
      <c r="Q675" s="165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  <c r="AO675" s="109"/>
      <c r="AP675" s="109"/>
      <c r="AQ675" s="109"/>
      <c r="AR675" s="109"/>
      <c r="AS675" s="109"/>
      <c r="AT675" s="109"/>
      <c r="AU675" s="109"/>
      <c r="AV675" s="109"/>
      <c r="AW675" s="109"/>
      <c r="AX675" s="109"/>
      <c r="AY675" s="109"/>
      <c r="AZ675" s="109"/>
      <c r="BA675" s="109"/>
      <c r="BB675" s="109"/>
      <c r="BC675" s="109"/>
      <c r="BD675" s="109"/>
      <c r="BE675" s="109"/>
      <c r="BF675" s="109"/>
      <c r="BG675" s="109"/>
      <c r="BH675" s="109"/>
      <c r="BI675" s="109"/>
      <c r="BJ675" s="109"/>
      <c r="BK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63"/>
      <c r="J676" s="109"/>
      <c r="K676" s="109"/>
      <c r="L676" s="109"/>
      <c r="M676" s="109"/>
      <c r="N676" s="109"/>
      <c r="O676" s="164"/>
      <c r="P676" s="165"/>
      <c r="Q676" s="165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  <c r="AO676" s="109"/>
      <c r="AP676" s="109"/>
      <c r="AQ676" s="109"/>
      <c r="AR676" s="109"/>
      <c r="AS676" s="109"/>
      <c r="AT676" s="109"/>
      <c r="AU676" s="109"/>
      <c r="AV676" s="109"/>
      <c r="AW676" s="109"/>
      <c r="AX676" s="109"/>
      <c r="AY676" s="109"/>
      <c r="AZ676" s="109"/>
      <c r="BA676" s="109"/>
      <c r="BB676" s="109"/>
      <c r="BC676" s="109"/>
      <c r="BD676" s="109"/>
      <c r="BE676" s="109"/>
      <c r="BF676" s="109"/>
      <c r="BG676" s="109"/>
      <c r="BH676" s="109"/>
      <c r="BI676" s="109"/>
      <c r="BJ676" s="109"/>
      <c r="BK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63"/>
      <c r="J677" s="109"/>
      <c r="K677" s="109"/>
      <c r="L677" s="109"/>
      <c r="M677" s="109"/>
      <c r="N677" s="109"/>
      <c r="O677" s="164"/>
      <c r="P677" s="165"/>
      <c r="Q677" s="165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  <c r="AO677" s="109"/>
      <c r="AP677" s="109"/>
      <c r="AQ677" s="109"/>
      <c r="AR677" s="109"/>
      <c r="AS677" s="109"/>
      <c r="AT677" s="109"/>
      <c r="AU677" s="109"/>
      <c r="AV677" s="109"/>
      <c r="AW677" s="109"/>
      <c r="AX677" s="109"/>
      <c r="AY677" s="109"/>
      <c r="AZ677" s="109"/>
      <c r="BA677" s="109"/>
      <c r="BB677" s="109"/>
      <c r="BC677" s="109"/>
      <c r="BD677" s="109"/>
      <c r="BE677" s="109"/>
      <c r="BF677" s="109"/>
      <c r="BG677" s="109"/>
      <c r="BH677" s="109"/>
      <c r="BI677" s="109"/>
      <c r="BJ677" s="109"/>
      <c r="BK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63"/>
      <c r="J678" s="109"/>
      <c r="K678" s="109"/>
      <c r="L678" s="109"/>
      <c r="M678" s="109"/>
      <c r="N678" s="109"/>
      <c r="O678" s="164"/>
      <c r="P678" s="165"/>
      <c r="Q678" s="165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  <c r="AO678" s="109"/>
      <c r="AP678" s="109"/>
      <c r="AQ678" s="109"/>
      <c r="AR678" s="109"/>
      <c r="AS678" s="109"/>
      <c r="AT678" s="109"/>
      <c r="AU678" s="109"/>
      <c r="AV678" s="109"/>
      <c r="AW678" s="109"/>
      <c r="AX678" s="109"/>
      <c r="AY678" s="109"/>
      <c r="AZ678" s="109"/>
      <c r="BA678" s="109"/>
      <c r="BB678" s="109"/>
      <c r="BC678" s="109"/>
      <c r="BD678" s="109"/>
      <c r="BE678" s="109"/>
      <c r="BF678" s="109"/>
      <c r="BG678" s="109"/>
      <c r="BH678" s="109"/>
      <c r="BI678" s="109"/>
      <c r="BJ678" s="109"/>
      <c r="BK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63"/>
      <c r="J679" s="109"/>
      <c r="K679" s="109"/>
      <c r="L679" s="109"/>
      <c r="M679" s="109"/>
      <c r="N679" s="109"/>
      <c r="O679" s="164"/>
      <c r="P679" s="165"/>
      <c r="Q679" s="165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  <c r="AO679" s="109"/>
      <c r="AP679" s="109"/>
      <c r="AQ679" s="109"/>
      <c r="AR679" s="109"/>
      <c r="AS679" s="109"/>
      <c r="AT679" s="109"/>
      <c r="AU679" s="109"/>
      <c r="AV679" s="109"/>
      <c r="AW679" s="109"/>
      <c r="AX679" s="109"/>
      <c r="AY679" s="109"/>
      <c r="AZ679" s="109"/>
      <c r="BA679" s="109"/>
      <c r="BB679" s="109"/>
      <c r="BC679" s="109"/>
      <c r="BD679" s="109"/>
      <c r="BE679" s="109"/>
      <c r="BF679" s="109"/>
      <c r="BG679" s="109"/>
      <c r="BH679" s="109"/>
      <c r="BI679" s="109"/>
      <c r="BJ679" s="109"/>
      <c r="BK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63"/>
      <c r="J680" s="109"/>
      <c r="K680" s="109"/>
      <c r="L680" s="109"/>
      <c r="M680" s="109"/>
      <c r="N680" s="109"/>
      <c r="O680" s="164"/>
      <c r="P680" s="165"/>
      <c r="Q680" s="165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  <c r="AO680" s="109"/>
      <c r="AP680" s="109"/>
      <c r="AQ680" s="109"/>
      <c r="AR680" s="109"/>
      <c r="AS680" s="109"/>
      <c r="AT680" s="109"/>
      <c r="AU680" s="109"/>
      <c r="AV680" s="109"/>
      <c r="AW680" s="109"/>
      <c r="AX680" s="109"/>
      <c r="AY680" s="109"/>
      <c r="AZ680" s="109"/>
      <c r="BA680" s="109"/>
      <c r="BB680" s="109"/>
      <c r="BC680" s="109"/>
      <c r="BD680" s="109"/>
      <c r="BE680" s="109"/>
      <c r="BF680" s="109"/>
      <c r="BG680" s="109"/>
      <c r="BH680" s="109"/>
      <c r="BI680" s="109"/>
      <c r="BJ680" s="109"/>
      <c r="BK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63"/>
      <c r="J681" s="109"/>
      <c r="K681" s="109"/>
      <c r="L681" s="109"/>
      <c r="M681" s="109"/>
      <c r="N681" s="109"/>
      <c r="O681" s="164"/>
      <c r="P681" s="165"/>
      <c r="Q681" s="165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  <c r="AO681" s="109"/>
      <c r="AP681" s="109"/>
      <c r="AQ681" s="109"/>
      <c r="AR681" s="109"/>
      <c r="AS681" s="109"/>
      <c r="AT681" s="109"/>
      <c r="AU681" s="109"/>
      <c r="AV681" s="109"/>
      <c r="AW681" s="109"/>
      <c r="AX681" s="109"/>
      <c r="AY681" s="109"/>
      <c r="AZ681" s="109"/>
      <c r="BA681" s="109"/>
      <c r="BB681" s="109"/>
      <c r="BC681" s="109"/>
      <c r="BD681" s="109"/>
      <c r="BE681" s="109"/>
      <c r="BF681" s="109"/>
      <c r="BG681" s="109"/>
      <c r="BH681" s="109"/>
      <c r="BI681" s="109"/>
      <c r="BJ681" s="109"/>
      <c r="BK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63"/>
      <c r="J682" s="109"/>
      <c r="K682" s="109"/>
      <c r="L682" s="109"/>
      <c r="M682" s="109"/>
      <c r="N682" s="109"/>
      <c r="O682" s="164"/>
      <c r="P682" s="165"/>
      <c r="Q682" s="165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  <c r="AO682" s="109"/>
      <c r="AP682" s="109"/>
      <c r="AQ682" s="109"/>
      <c r="AR682" s="109"/>
      <c r="AS682" s="109"/>
      <c r="AT682" s="109"/>
      <c r="AU682" s="109"/>
      <c r="AV682" s="109"/>
      <c r="AW682" s="109"/>
      <c r="AX682" s="109"/>
      <c r="AY682" s="109"/>
      <c r="AZ682" s="109"/>
      <c r="BA682" s="109"/>
      <c r="BB682" s="109"/>
      <c r="BC682" s="109"/>
      <c r="BD682" s="109"/>
      <c r="BE682" s="109"/>
      <c r="BF682" s="109"/>
      <c r="BG682" s="109"/>
      <c r="BH682" s="109"/>
      <c r="BI682" s="109"/>
      <c r="BJ682" s="109"/>
      <c r="BK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63"/>
      <c r="J683" s="109"/>
      <c r="K683" s="109"/>
      <c r="L683" s="109"/>
      <c r="M683" s="109"/>
      <c r="N683" s="109"/>
      <c r="O683" s="164"/>
      <c r="P683" s="165"/>
      <c r="Q683" s="165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  <c r="AO683" s="109"/>
      <c r="AP683" s="109"/>
      <c r="AQ683" s="109"/>
      <c r="AR683" s="109"/>
      <c r="AS683" s="109"/>
      <c r="AT683" s="109"/>
      <c r="AU683" s="109"/>
      <c r="AV683" s="109"/>
      <c r="AW683" s="109"/>
      <c r="AX683" s="109"/>
      <c r="AY683" s="109"/>
      <c r="AZ683" s="109"/>
      <c r="BA683" s="109"/>
      <c r="BB683" s="109"/>
      <c r="BC683" s="109"/>
      <c r="BD683" s="109"/>
      <c r="BE683" s="109"/>
      <c r="BF683" s="109"/>
      <c r="BG683" s="109"/>
      <c r="BH683" s="109"/>
      <c r="BI683" s="109"/>
      <c r="BJ683" s="109"/>
      <c r="BK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63"/>
      <c r="J684" s="109"/>
      <c r="K684" s="109"/>
      <c r="L684" s="109"/>
      <c r="M684" s="109"/>
      <c r="N684" s="109"/>
      <c r="O684" s="164"/>
      <c r="P684" s="165"/>
      <c r="Q684" s="165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  <c r="AO684" s="109"/>
      <c r="AP684" s="109"/>
      <c r="AQ684" s="109"/>
      <c r="AR684" s="109"/>
      <c r="AS684" s="109"/>
      <c r="AT684" s="109"/>
      <c r="AU684" s="109"/>
      <c r="AV684" s="109"/>
      <c r="AW684" s="109"/>
      <c r="AX684" s="109"/>
      <c r="AY684" s="109"/>
      <c r="AZ684" s="109"/>
      <c r="BA684" s="109"/>
      <c r="BB684" s="109"/>
      <c r="BC684" s="109"/>
      <c r="BD684" s="109"/>
      <c r="BE684" s="109"/>
      <c r="BF684" s="109"/>
      <c r="BG684" s="109"/>
      <c r="BH684" s="109"/>
      <c r="BI684" s="109"/>
      <c r="BJ684" s="109"/>
      <c r="BK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63"/>
      <c r="J685" s="109"/>
      <c r="K685" s="109"/>
      <c r="L685" s="109"/>
      <c r="M685" s="109"/>
      <c r="N685" s="109"/>
      <c r="O685" s="164"/>
      <c r="P685" s="165"/>
      <c r="Q685" s="165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  <c r="AO685" s="109"/>
      <c r="AP685" s="109"/>
      <c r="AQ685" s="109"/>
      <c r="AR685" s="109"/>
      <c r="AS685" s="109"/>
      <c r="AT685" s="109"/>
      <c r="AU685" s="109"/>
      <c r="AV685" s="109"/>
      <c r="AW685" s="109"/>
      <c r="AX685" s="109"/>
      <c r="AY685" s="109"/>
      <c r="AZ685" s="109"/>
      <c r="BA685" s="109"/>
      <c r="BB685" s="109"/>
      <c r="BC685" s="109"/>
      <c r="BD685" s="109"/>
      <c r="BE685" s="109"/>
      <c r="BF685" s="109"/>
      <c r="BG685" s="109"/>
      <c r="BH685" s="109"/>
      <c r="BI685" s="109"/>
      <c r="BJ685" s="109"/>
      <c r="BK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63"/>
      <c r="J686" s="109"/>
      <c r="K686" s="109"/>
      <c r="L686" s="109"/>
      <c r="M686" s="109"/>
      <c r="N686" s="109"/>
      <c r="O686" s="164"/>
      <c r="P686" s="165"/>
      <c r="Q686" s="165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  <c r="AO686" s="109"/>
      <c r="AP686" s="109"/>
      <c r="AQ686" s="109"/>
      <c r="AR686" s="109"/>
      <c r="AS686" s="109"/>
      <c r="AT686" s="109"/>
      <c r="AU686" s="109"/>
      <c r="AV686" s="109"/>
      <c r="AW686" s="109"/>
      <c r="AX686" s="109"/>
      <c r="AY686" s="109"/>
      <c r="AZ686" s="109"/>
      <c r="BA686" s="109"/>
      <c r="BB686" s="109"/>
      <c r="BC686" s="109"/>
      <c r="BD686" s="109"/>
      <c r="BE686" s="109"/>
      <c r="BF686" s="109"/>
      <c r="BG686" s="109"/>
      <c r="BH686" s="109"/>
      <c r="BI686" s="109"/>
      <c r="BJ686" s="109"/>
      <c r="BK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63"/>
      <c r="J687" s="109"/>
      <c r="K687" s="109"/>
      <c r="L687" s="109"/>
      <c r="M687" s="109"/>
      <c r="N687" s="109"/>
      <c r="O687" s="164"/>
      <c r="P687" s="165"/>
      <c r="Q687" s="165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  <c r="AO687" s="109"/>
      <c r="AP687" s="109"/>
      <c r="AQ687" s="109"/>
      <c r="AR687" s="109"/>
      <c r="AS687" s="109"/>
      <c r="AT687" s="109"/>
      <c r="AU687" s="109"/>
      <c r="AV687" s="109"/>
      <c r="AW687" s="109"/>
      <c r="AX687" s="109"/>
      <c r="AY687" s="109"/>
      <c r="AZ687" s="109"/>
      <c r="BA687" s="109"/>
      <c r="BB687" s="109"/>
      <c r="BC687" s="109"/>
      <c r="BD687" s="109"/>
      <c r="BE687" s="109"/>
      <c r="BF687" s="109"/>
      <c r="BG687" s="109"/>
      <c r="BH687" s="109"/>
      <c r="BI687" s="109"/>
      <c r="BJ687" s="109"/>
      <c r="BK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63"/>
      <c r="J688" s="109"/>
      <c r="K688" s="109"/>
      <c r="L688" s="109"/>
      <c r="M688" s="109"/>
      <c r="N688" s="109"/>
      <c r="O688" s="164"/>
      <c r="P688" s="165"/>
      <c r="Q688" s="165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  <c r="AO688" s="109"/>
      <c r="AP688" s="109"/>
      <c r="AQ688" s="109"/>
      <c r="AR688" s="109"/>
      <c r="AS688" s="109"/>
      <c r="AT688" s="109"/>
      <c r="AU688" s="109"/>
      <c r="AV688" s="109"/>
      <c r="AW688" s="109"/>
      <c r="AX688" s="109"/>
      <c r="AY688" s="109"/>
      <c r="AZ688" s="109"/>
      <c r="BA688" s="109"/>
      <c r="BB688" s="109"/>
      <c r="BC688" s="109"/>
      <c r="BD688" s="109"/>
      <c r="BE688" s="109"/>
      <c r="BF688" s="109"/>
      <c r="BG688" s="109"/>
      <c r="BH688" s="109"/>
      <c r="BI688" s="109"/>
      <c r="BJ688" s="109"/>
      <c r="BK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63"/>
      <c r="J689" s="109"/>
      <c r="K689" s="109"/>
      <c r="L689" s="109"/>
      <c r="M689" s="109"/>
      <c r="N689" s="109"/>
      <c r="O689" s="164"/>
      <c r="P689" s="165"/>
      <c r="Q689" s="165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  <c r="AO689" s="109"/>
      <c r="AP689" s="109"/>
      <c r="AQ689" s="109"/>
      <c r="AR689" s="109"/>
      <c r="AS689" s="109"/>
      <c r="AT689" s="109"/>
      <c r="AU689" s="109"/>
      <c r="AV689" s="109"/>
      <c r="AW689" s="109"/>
      <c r="AX689" s="109"/>
      <c r="AY689" s="109"/>
      <c r="AZ689" s="109"/>
      <c r="BA689" s="109"/>
      <c r="BB689" s="109"/>
      <c r="BC689" s="109"/>
      <c r="BD689" s="109"/>
      <c r="BE689" s="109"/>
      <c r="BF689" s="109"/>
      <c r="BG689" s="109"/>
      <c r="BH689" s="109"/>
      <c r="BI689" s="109"/>
      <c r="BJ689" s="109"/>
      <c r="BK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63"/>
      <c r="J690" s="109"/>
      <c r="K690" s="109"/>
      <c r="L690" s="109"/>
      <c r="M690" s="109"/>
      <c r="N690" s="109"/>
      <c r="O690" s="164"/>
      <c r="P690" s="165"/>
      <c r="Q690" s="165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  <c r="AO690" s="109"/>
      <c r="AP690" s="109"/>
      <c r="AQ690" s="109"/>
      <c r="AR690" s="109"/>
      <c r="AS690" s="109"/>
      <c r="AT690" s="109"/>
      <c r="AU690" s="109"/>
      <c r="AV690" s="109"/>
      <c r="AW690" s="109"/>
      <c r="AX690" s="109"/>
      <c r="AY690" s="109"/>
      <c r="AZ690" s="109"/>
      <c r="BA690" s="109"/>
      <c r="BB690" s="109"/>
      <c r="BC690" s="109"/>
      <c r="BD690" s="109"/>
      <c r="BE690" s="109"/>
      <c r="BF690" s="109"/>
      <c r="BG690" s="109"/>
      <c r="BH690" s="109"/>
      <c r="BI690" s="109"/>
      <c r="BJ690" s="109"/>
      <c r="BK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63"/>
      <c r="J691" s="109"/>
      <c r="K691" s="109"/>
      <c r="L691" s="109"/>
      <c r="M691" s="109"/>
      <c r="N691" s="109"/>
      <c r="O691" s="164"/>
      <c r="P691" s="165"/>
      <c r="Q691" s="165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  <c r="AO691" s="109"/>
      <c r="AP691" s="109"/>
      <c r="AQ691" s="109"/>
      <c r="AR691" s="109"/>
      <c r="AS691" s="109"/>
      <c r="AT691" s="109"/>
      <c r="AU691" s="109"/>
      <c r="AV691" s="109"/>
      <c r="AW691" s="109"/>
      <c r="AX691" s="109"/>
      <c r="AY691" s="109"/>
      <c r="AZ691" s="109"/>
      <c r="BA691" s="109"/>
      <c r="BB691" s="109"/>
      <c r="BC691" s="109"/>
      <c r="BD691" s="109"/>
      <c r="BE691" s="109"/>
      <c r="BF691" s="109"/>
      <c r="BG691" s="109"/>
      <c r="BH691" s="109"/>
      <c r="BI691" s="109"/>
      <c r="BJ691" s="109"/>
      <c r="BK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63"/>
      <c r="J692" s="109"/>
      <c r="K692" s="109"/>
      <c r="L692" s="109"/>
      <c r="M692" s="109"/>
      <c r="N692" s="109"/>
      <c r="O692" s="164"/>
      <c r="P692" s="165"/>
      <c r="Q692" s="165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  <c r="AO692" s="109"/>
      <c r="AP692" s="109"/>
      <c r="AQ692" s="109"/>
      <c r="AR692" s="109"/>
      <c r="AS692" s="109"/>
      <c r="AT692" s="109"/>
      <c r="AU692" s="109"/>
      <c r="AV692" s="109"/>
      <c r="AW692" s="109"/>
      <c r="AX692" s="109"/>
      <c r="AY692" s="109"/>
      <c r="AZ692" s="109"/>
      <c r="BA692" s="109"/>
      <c r="BB692" s="109"/>
      <c r="BC692" s="109"/>
      <c r="BD692" s="109"/>
      <c r="BE692" s="109"/>
      <c r="BF692" s="109"/>
      <c r="BG692" s="109"/>
      <c r="BH692" s="109"/>
      <c r="BI692" s="109"/>
      <c r="BJ692" s="109"/>
      <c r="BK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63"/>
      <c r="J693" s="109"/>
      <c r="K693" s="109"/>
      <c r="L693" s="109"/>
      <c r="M693" s="109"/>
      <c r="N693" s="109"/>
      <c r="O693" s="164"/>
      <c r="P693" s="165"/>
      <c r="Q693" s="165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  <c r="AO693" s="109"/>
      <c r="AP693" s="109"/>
      <c r="AQ693" s="109"/>
      <c r="AR693" s="109"/>
      <c r="AS693" s="109"/>
      <c r="AT693" s="109"/>
      <c r="AU693" s="109"/>
      <c r="AV693" s="109"/>
      <c r="AW693" s="109"/>
      <c r="AX693" s="109"/>
      <c r="AY693" s="109"/>
      <c r="AZ693" s="109"/>
      <c r="BA693" s="109"/>
      <c r="BB693" s="109"/>
      <c r="BC693" s="109"/>
      <c r="BD693" s="109"/>
      <c r="BE693" s="109"/>
      <c r="BF693" s="109"/>
      <c r="BG693" s="109"/>
      <c r="BH693" s="109"/>
      <c r="BI693" s="109"/>
      <c r="BJ693" s="109"/>
      <c r="BK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63"/>
      <c r="J694" s="109"/>
      <c r="K694" s="109"/>
      <c r="L694" s="109"/>
      <c r="M694" s="109"/>
      <c r="N694" s="109"/>
      <c r="O694" s="164"/>
      <c r="P694" s="165"/>
      <c r="Q694" s="165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  <c r="AO694" s="109"/>
      <c r="AP694" s="109"/>
      <c r="AQ694" s="109"/>
      <c r="AR694" s="109"/>
      <c r="AS694" s="109"/>
      <c r="AT694" s="109"/>
      <c r="AU694" s="109"/>
      <c r="AV694" s="109"/>
      <c r="AW694" s="109"/>
      <c r="AX694" s="109"/>
      <c r="AY694" s="109"/>
      <c r="AZ694" s="109"/>
      <c r="BA694" s="109"/>
      <c r="BB694" s="109"/>
      <c r="BC694" s="109"/>
      <c r="BD694" s="109"/>
      <c r="BE694" s="109"/>
      <c r="BF694" s="109"/>
      <c r="BG694" s="109"/>
      <c r="BH694" s="109"/>
      <c r="BI694" s="109"/>
      <c r="BJ694" s="109"/>
      <c r="BK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63"/>
      <c r="J695" s="109"/>
      <c r="K695" s="109"/>
      <c r="L695" s="109"/>
      <c r="M695" s="109"/>
      <c r="N695" s="109"/>
      <c r="O695" s="164"/>
      <c r="P695" s="165"/>
      <c r="Q695" s="165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  <c r="AO695" s="109"/>
      <c r="AP695" s="109"/>
      <c r="AQ695" s="109"/>
      <c r="AR695" s="109"/>
      <c r="AS695" s="109"/>
      <c r="AT695" s="109"/>
      <c r="AU695" s="109"/>
      <c r="AV695" s="109"/>
      <c r="AW695" s="109"/>
      <c r="AX695" s="109"/>
      <c r="AY695" s="109"/>
      <c r="AZ695" s="109"/>
      <c r="BA695" s="109"/>
      <c r="BB695" s="109"/>
      <c r="BC695" s="109"/>
      <c r="BD695" s="109"/>
      <c r="BE695" s="109"/>
      <c r="BF695" s="109"/>
      <c r="BG695" s="109"/>
      <c r="BH695" s="109"/>
      <c r="BI695" s="109"/>
      <c r="BJ695" s="109"/>
      <c r="BK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63"/>
      <c r="J696" s="109"/>
      <c r="K696" s="109"/>
      <c r="L696" s="109"/>
      <c r="M696" s="109"/>
      <c r="N696" s="109"/>
      <c r="O696" s="164"/>
      <c r="P696" s="165"/>
      <c r="Q696" s="165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  <c r="AO696" s="109"/>
      <c r="AP696" s="109"/>
      <c r="AQ696" s="109"/>
      <c r="AR696" s="109"/>
      <c r="AS696" s="109"/>
      <c r="AT696" s="109"/>
      <c r="AU696" s="109"/>
      <c r="AV696" s="109"/>
      <c r="AW696" s="109"/>
      <c r="AX696" s="109"/>
      <c r="AY696" s="109"/>
      <c r="AZ696" s="109"/>
      <c r="BA696" s="109"/>
      <c r="BB696" s="109"/>
      <c r="BC696" s="109"/>
      <c r="BD696" s="109"/>
      <c r="BE696" s="109"/>
      <c r="BF696" s="109"/>
      <c r="BG696" s="109"/>
      <c r="BH696" s="109"/>
      <c r="BI696" s="109"/>
      <c r="BJ696" s="109"/>
      <c r="BK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63"/>
      <c r="J697" s="109"/>
      <c r="K697" s="109"/>
      <c r="L697" s="109"/>
      <c r="M697" s="109"/>
      <c r="N697" s="109"/>
      <c r="O697" s="164"/>
      <c r="P697" s="165"/>
      <c r="Q697" s="165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  <c r="AO697" s="109"/>
      <c r="AP697" s="109"/>
      <c r="AQ697" s="109"/>
      <c r="AR697" s="109"/>
      <c r="AS697" s="109"/>
      <c r="AT697" s="109"/>
      <c r="AU697" s="109"/>
      <c r="AV697" s="109"/>
      <c r="AW697" s="109"/>
      <c r="AX697" s="109"/>
      <c r="AY697" s="109"/>
      <c r="AZ697" s="109"/>
      <c r="BA697" s="109"/>
      <c r="BB697" s="109"/>
      <c r="BC697" s="109"/>
      <c r="BD697" s="109"/>
      <c r="BE697" s="109"/>
      <c r="BF697" s="109"/>
      <c r="BG697" s="109"/>
      <c r="BH697" s="109"/>
      <c r="BI697" s="109"/>
      <c r="BJ697" s="109"/>
      <c r="BK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63"/>
      <c r="J698" s="109"/>
      <c r="K698" s="109"/>
      <c r="L698" s="109"/>
      <c r="M698" s="109"/>
      <c r="N698" s="109"/>
      <c r="O698" s="164"/>
      <c r="P698" s="165"/>
      <c r="Q698" s="165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  <c r="AO698" s="109"/>
      <c r="AP698" s="109"/>
      <c r="AQ698" s="109"/>
      <c r="AR698" s="109"/>
      <c r="AS698" s="109"/>
      <c r="AT698" s="109"/>
      <c r="AU698" s="109"/>
      <c r="AV698" s="109"/>
      <c r="AW698" s="109"/>
      <c r="AX698" s="109"/>
      <c r="AY698" s="109"/>
      <c r="AZ698" s="109"/>
      <c r="BA698" s="109"/>
      <c r="BB698" s="109"/>
      <c r="BC698" s="109"/>
      <c r="BD698" s="109"/>
      <c r="BE698" s="109"/>
      <c r="BF698" s="109"/>
      <c r="BG698" s="109"/>
      <c r="BH698" s="109"/>
      <c r="BI698" s="109"/>
      <c r="BJ698" s="109"/>
      <c r="BK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63"/>
      <c r="J699" s="109"/>
      <c r="K699" s="109"/>
      <c r="L699" s="109"/>
      <c r="M699" s="109"/>
      <c r="N699" s="109"/>
      <c r="O699" s="164"/>
      <c r="P699" s="165"/>
      <c r="Q699" s="165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  <c r="AO699" s="109"/>
      <c r="AP699" s="109"/>
      <c r="AQ699" s="109"/>
      <c r="AR699" s="109"/>
      <c r="AS699" s="109"/>
      <c r="AT699" s="109"/>
      <c r="AU699" s="109"/>
      <c r="AV699" s="109"/>
      <c r="AW699" s="109"/>
      <c r="AX699" s="109"/>
      <c r="AY699" s="109"/>
      <c r="AZ699" s="109"/>
      <c r="BA699" s="109"/>
      <c r="BB699" s="109"/>
      <c r="BC699" s="109"/>
      <c r="BD699" s="109"/>
      <c r="BE699" s="109"/>
      <c r="BF699" s="109"/>
      <c r="BG699" s="109"/>
      <c r="BH699" s="109"/>
      <c r="BI699" s="109"/>
      <c r="BJ699" s="109"/>
      <c r="BK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63"/>
      <c r="J700" s="109"/>
      <c r="K700" s="109"/>
      <c r="L700" s="109"/>
      <c r="M700" s="109"/>
      <c r="N700" s="109"/>
      <c r="O700" s="164"/>
      <c r="P700" s="165"/>
      <c r="Q700" s="165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  <c r="AO700" s="109"/>
      <c r="AP700" s="109"/>
      <c r="AQ700" s="109"/>
      <c r="AR700" s="109"/>
      <c r="AS700" s="109"/>
      <c r="AT700" s="109"/>
      <c r="AU700" s="109"/>
      <c r="AV700" s="109"/>
      <c r="AW700" s="109"/>
      <c r="AX700" s="109"/>
      <c r="AY700" s="109"/>
      <c r="AZ700" s="109"/>
      <c r="BA700" s="109"/>
      <c r="BB700" s="109"/>
      <c r="BC700" s="109"/>
      <c r="BD700" s="109"/>
      <c r="BE700" s="109"/>
      <c r="BF700" s="109"/>
      <c r="BG700" s="109"/>
      <c r="BH700" s="109"/>
      <c r="BI700" s="109"/>
      <c r="BJ700" s="109"/>
      <c r="BK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63"/>
      <c r="J701" s="109"/>
      <c r="K701" s="109"/>
      <c r="L701" s="109"/>
      <c r="M701" s="109"/>
      <c r="N701" s="109"/>
      <c r="O701" s="164"/>
      <c r="P701" s="165"/>
      <c r="Q701" s="165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  <c r="BH701" s="109"/>
      <c r="BI701" s="109"/>
      <c r="BJ701" s="109"/>
      <c r="BK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63"/>
      <c r="J702" s="109"/>
      <c r="K702" s="109"/>
      <c r="L702" s="109"/>
      <c r="M702" s="109"/>
      <c r="N702" s="109"/>
      <c r="O702" s="164"/>
      <c r="P702" s="165"/>
      <c r="Q702" s="165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  <c r="AO702" s="109"/>
      <c r="AP702" s="109"/>
      <c r="AQ702" s="109"/>
      <c r="AR702" s="109"/>
      <c r="AS702" s="109"/>
      <c r="AT702" s="109"/>
      <c r="AU702" s="109"/>
      <c r="AV702" s="109"/>
      <c r="AW702" s="109"/>
      <c r="AX702" s="109"/>
      <c r="AY702" s="109"/>
      <c r="AZ702" s="109"/>
      <c r="BA702" s="109"/>
      <c r="BB702" s="109"/>
      <c r="BC702" s="109"/>
      <c r="BD702" s="109"/>
      <c r="BE702" s="109"/>
      <c r="BF702" s="109"/>
      <c r="BG702" s="109"/>
      <c r="BH702" s="109"/>
      <c r="BI702" s="109"/>
      <c r="BJ702" s="109"/>
      <c r="BK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63"/>
      <c r="J703" s="109"/>
      <c r="K703" s="109"/>
      <c r="L703" s="109"/>
      <c r="M703" s="109"/>
      <c r="N703" s="109"/>
      <c r="O703" s="164"/>
      <c r="P703" s="165"/>
      <c r="Q703" s="165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  <c r="AO703" s="109"/>
      <c r="AP703" s="109"/>
      <c r="AQ703" s="109"/>
      <c r="AR703" s="109"/>
      <c r="AS703" s="109"/>
      <c r="AT703" s="109"/>
      <c r="AU703" s="109"/>
      <c r="AV703" s="109"/>
      <c r="AW703" s="109"/>
      <c r="AX703" s="109"/>
      <c r="AY703" s="109"/>
      <c r="AZ703" s="109"/>
      <c r="BA703" s="109"/>
      <c r="BB703" s="109"/>
      <c r="BC703" s="109"/>
      <c r="BD703" s="109"/>
      <c r="BE703" s="109"/>
      <c r="BF703" s="109"/>
      <c r="BG703" s="109"/>
      <c r="BH703" s="109"/>
      <c r="BI703" s="109"/>
      <c r="BJ703" s="109"/>
      <c r="BK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63"/>
      <c r="J704" s="109"/>
      <c r="K704" s="109"/>
      <c r="L704" s="109"/>
      <c r="M704" s="109"/>
      <c r="N704" s="109"/>
      <c r="O704" s="164"/>
      <c r="P704" s="165"/>
      <c r="Q704" s="165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  <c r="AO704" s="109"/>
      <c r="AP704" s="109"/>
      <c r="AQ704" s="109"/>
      <c r="AR704" s="109"/>
      <c r="AS704" s="109"/>
      <c r="AT704" s="109"/>
      <c r="AU704" s="109"/>
      <c r="AV704" s="109"/>
      <c r="AW704" s="109"/>
      <c r="AX704" s="109"/>
      <c r="AY704" s="109"/>
      <c r="AZ704" s="109"/>
      <c r="BA704" s="109"/>
      <c r="BB704" s="109"/>
      <c r="BC704" s="109"/>
      <c r="BD704" s="109"/>
      <c r="BE704" s="109"/>
      <c r="BF704" s="109"/>
      <c r="BG704" s="109"/>
      <c r="BH704" s="109"/>
      <c r="BI704" s="109"/>
      <c r="BJ704" s="109"/>
      <c r="BK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63"/>
      <c r="J705" s="109"/>
      <c r="K705" s="109"/>
      <c r="L705" s="109"/>
      <c r="M705" s="109"/>
      <c r="N705" s="109"/>
      <c r="O705" s="164"/>
      <c r="P705" s="165"/>
      <c r="Q705" s="165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  <c r="AO705" s="109"/>
      <c r="AP705" s="109"/>
      <c r="AQ705" s="109"/>
      <c r="AR705" s="109"/>
      <c r="AS705" s="109"/>
      <c r="AT705" s="109"/>
      <c r="AU705" s="109"/>
      <c r="AV705" s="109"/>
      <c r="AW705" s="109"/>
      <c r="AX705" s="109"/>
      <c r="AY705" s="109"/>
      <c r="AZ705" s="109"/>
      <c r="BA705" s="109"/>
      <c r="BB705" s="109"/>
      <c r="BC705" s="109"/>
      <c r="BD705" s="109"/>
      <c r="BE705" s="109"/>
      <c r="BF705" s="109"/>
      <c r="BG705" s="109"/>
      <c r="BH705" s="109"/>
      <c r="BI705" s="109"/>
      <c r="BJ705" s="109"/>
      <c r="BK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63"/>
      <c r="J706" s="109"/>
      <c r="K706" s="109"/>
      <c r="L706" s="109"/>
      <c r="M706" s="109"/>
      <c r="N706" s="109"/>
      <c r="O706" s="164"/>
      <c r="P706" s="165"/>
      <c r="Q706" s="165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09"/>
      <c r="BE706" s="109"/>
      <c r="BF706" s="109"/>
      <c r="BG706" s="109"/>
      <c r="BH706" s="109"/>
      <c r="BI706" s="109"/>
      <c r="BJ706" s="109"/>
      <c r="BK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63"/>
      <c r="J707" s="109"/>
      <c r="K707" s="109"/>
      <c r="L707" s="109"/>
      <c r="M707" s="109"/>
      <c r="N707" s="109"/>
      <c r="O707" s="164"/>
      <c r="P707" s="165"/>
      <c r="Q707" s="165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109"/>
      <c r="BB707" s="109"/>
      <c r="BC707" s="109"/>
      <c r="BD707" s="109"/>
      <c r="BE707" s="109"/>
      <c r="BF707" s="109"/>
      <c r="BG707" s="109"/>
      <c r="BH707" s="109"/>
      <c r="BI707" s="109"/>
      <c r="BJ707" s="109"/>
      <c r="BK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63"/>
      <c r="J708" s="109"/>
      <c r="K708" s="109"/>
      <c r="L708" s="109"/>
      <c r="M708" s="109"/>
      <c r="N708" s="109"/>
      <c r="O708" s="164"/>
      <c r="P708" s="165"/>
      <c r="Q708" s="165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109"/>
      <c r="BB708" s="109"/>
      <c r="BC708" s="109"/>
      <c r="BD708" s="109"/>
      <c r="BE708" s="109"/>
      <c r="BF708" s="109"/>
      <c r="BG708" s="109"/>
      <c r="BH708" s="109"/>
      <c r="BI708" s="109"/>
      <c r="BJ708" s="109"/>
      <c r="BK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63"/>
      <c r="J709" s="109"/>
      <c r="K709" s="109"/>
      <c r="L709" s="109"/>
      <c r="M709" s="109"/>
      <c r="N709" s="109"/>
      <c r="O709" s="164"/>
      <c r="P709" s="165"/>
      <c r="Q709" s="165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109"/>
      <c r="BB709" s="109"/>
      <c r="BC709" s="109"/>
      <c r="BD709" s="109"/>
      <c r="BE709" s="109"/>
      <c r="BF709" s="109"/>
      <c r="BG709" s="109"/>
      <c r="BH709" s="109"/>
      <c r="BI709" s="109"/>
      <c r="BJ709" s="109"/>
      <c r="BK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63"/>
      <c r="J710" s="109"/>
      <c r="K710" s="109"/>
      <c r="L710" s="109"/>
      <c r="M710" s="109"/>
      <c r="N710" s="109"/>
      <c r="O710" s="164"/>
      <c r="P710" s="165"/>
      <c r="Q710" s="165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09"/>
      <c r="BB710" s="109"/>
      <c r="BC710" s="109"/>
      <c r="BD710" s="109"/>
      <c r="BE710" s="109"/>
      <c r="BF710" s="109"/>
      <c r="BG710" s="109"/>
      <c r="BH710" s="109"/>
      <c r="BI710" s="109"/>
      <c r="BJ710" s="109"/>
      <c r="BK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63"/>
      <c r="J711" s="109"/>
      <c r="K711" s="109"/>
      <c r="L711" s="109"/>
      <c r="M711" s="109"/>
      <c r="N711" s="109"/>
      <c r="O711" s="164"/>
      <c r="P711" s="165"/>
      <c r="Q711" s="165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09"/>
      <c r="BB711" s="109"/>
      <c r="BC711" s="109"/>
      <c r="BD711" s="109"/>
      <c r="BE711" s="109"/>
      <c r="BF711" s="109"/>
      <c r="BG711" s="109"/>
      <c r="BH711" s="109"/>
      <c r="BI711" s="109"/>
      <c r="BJ711" s="109"/>
      <c r="BK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63"/>
      <c r="J712" s="109"/>
      <c r="K712" s="109"/>
      <c r="L712" s="109"/>
      <c r="M712" s="109"/>
      <c r="N712" s="109"/>
      <c r="O712" s="164"/>
      <c r="P712" s="165"/>
      <c r="Q712" s="165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  <c r="AU712" s="109"/>
      <c r="AV712" s="109"/>
      <c r="AW712" s="109"/>
      <c r="AX712" s="109"/>
      <c r="AY712" s="109"/>
      <c r="AZ712" s="109"/>
      <c r="BA712" s="109"/>
      <c r="BB712" s="109"/>
      <c r="BC712" s="109"/>
      <c r="BD712" s="109"/>
      <c r="BE712" s="109"/>
      <c r="BF712" s="109"/>
      <c r="BG712" s="109"/>
      <c r="BH712" s="109"/>
      <c r="BI712" s="109"/>
      <c r="BJ712" s="109"/>
      <c r="BK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63"/>
      <c r="J713" s="109"/>
      <c r="K713" s="109"/>
      <c r="L713" s="109"/>
      <c r="M713" s="109"/>
      <c r="N713" s="109"/>
      <c r="O713" s="164"/>
      <c r="P713" s="165"/>
      <c r="Q713" s="165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  <c r="AU713" s="109"/>
      <c r="AV713" s="109"/>
      <c r="AW713" s="109"/>
      <c r="AX713" s="109"/>
      <c r="AY713" s="109"/>
      <c r="AZ713" s="109"/>
      <c r="BA713" s="109"/>
      <c r="BB713" s="109"/>
      <c r="BC713" s="109"/>
      <c r="BD713" s="109"/>
      <c r="BE713" s="109"/>
      <c r="BF713" s="109"/>
      <c r="BG713" s="109"/>
      <c r="BH713" s="109"/>
      <c r="BI713" s="109"/>
      <c r="BJ713" s="109"/>
      <c r="BK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63"/>
      <c r="J714" s="109"/>
      <c r="K714" s="109"/>
      <c r="L714" s="109"/>
      <c r="M714" s="109"/>
      <c r="N714" s="109"/>
      <c r="O714" s="164"/>
      <c r="P714" s="165"/>
      <c r="Q714" s="165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  <c r="AU714" s="109"/>
      <c r="AV714" s="109"/>
      <c r="AW714" s="109"/>
      <c r="AX714" s="109"/>
      <c r="AY714" s="109"/>
      <c r="AZ714" s="109"/>
      <c r="BA714" s="109"/>
      <c r="BB714" s="109"/>
      <c r="BC714" s="109"/>
      <c r="BD714" s="109"/>
      <c r="BE714" s="109"/>
      <c r="BF714" s="109"/>
      <c r="BG714" s="109"/>
      <c r="BH714" s="109"/>
      <c r="BI714" s="109"/>
      <c r="BJ714" s="109"/>
      <c r="BK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63"/>
      <c r="J715" s="109"/>
      <c r="K715" s="109"/>
      <c r="L715" s="109"/>
      <c r="M715" s="109"/>
      <c r="N715" s="109"/>
      <c r="O715" s="164"/>
      <c r="P715" s="165"/>
      <c r="Q715" s="165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  <c r="AU715" s="109"/>
      <c r="AV715" s="109"/>
      <c r="AW715" s="109"/>
      <c r="AX715" s="109"/>
      <c r="AY715" s="109"/>
      <c r="AZ715" s="109"/>
      <c r="BA715" s="109"/>
      <c r="BB715" s="109"/>
      <c r="BC715" s="109"/>
      <c r="BD715" s="109"/>
      <c r="BE715" s="109"/>
      <c r="BF715" s="109"/>
      <c r="BG715" s="109"/>
      <c r="BH715" s="109"/>
      <c r="BI715" s="109"/>
      <c r="BJ715" s="109"/>
      <c r="BK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63"/>
      <c r="J716" s="109"/>
      <c r="K716" s="109"/>
      <c r="L716" s="109"/>
      <c r="M716" s="109"/>
      <c r="N716" s="109"/>
      <c r="O716" s="164"/>
      <c r="P716" s="165"/>
      <c r="Q716" s="165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  <c r="AU716" s="109"/>
      <c r="AV716" s="109"/>
      <c r="AW716" s="109"/>
      <c r="AX716" s="109"/>
      <c r="AY716" s="109"/>
      <c r="AZ716" s="109"/>
      <c r="BA716" s="109"/>
      <c r="BB716" s="109"/>
      <c r="BC716" s="109"/>
      <c r="BD716" s="109"/>
      <c r="BE716" s="109"/>
      <c r="BF716" s="109"/>
      <c r="BG716" s="109"/>
      <c r="BH716" s="109"/>
      <c r="BI716" s="109"/>
      <c r="BJ716" s="109"/>
      <c r="BK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63"/>
      <c r="J717" s="109"/>
      <c r="K717" s="109"/>
      <c r="L717" s="109"/>
      <c r="M717" s="109"/>
      <c r="N717" s="109"/>
      <c r="O717" s="164"/>
      <c r="P717" s="165"/>
      <c r="Q717" s="165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  <c r="AU717" s="109"/>
      <c r="AV717" s="109"/>
      <c r="AW717" s="109"/>
      <c r="AX717" s="109"/>
      <c r="AY717" s="109"/>
      <c r="AZ717" s="109"/>
      <c r="BA717" s="109"/>
      <c r="BB717" s="109"/>
      <c r="BC717" s="109"/>
      <c r="BD717" s="109"/>
      <c r="BE717" s="109"/>
      <c r="BF717" s="109"/>
      <c r="BG717" s="109"/>
      <c r="BH717" s="109"/>
      <c r="BI717" s="109"/>
      <c r="BJ717" s="109"/>
      <c r="BK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63"/>
      <c r="J718" s="109"/>
      <c r="K718" s="109"/>
      <c r="L718" s="109"/>
      <c r="M718" s="109"/>
      <c r="N718" s="109"/>
      <c r="O718" s="164"/>
      <c r="P718" s="165"/>
      <c r="Q718" s="165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  <c r="AU718" s="109"/>
      <c r="AV718" s="109"/>
      <c r="AW718" s="109"/>
      <c r="AX718" s="109"/>
      <c r="AY718" s="109"/>
      <c r="AZ718" s="109"/>
      <c r="BA718" s="109"/>
      <c r="BB718" s="109"/>
      <c r="BC718" s="109"/>
      <c r="BD718" s="109"/>
      <c r="BE718" s="109"/>
      <c r="BF718" s="109"/>
      <c r="BG718" s="109"/>
      <c r="BH718" s="109"/>
      <c r="BI718" s="109"/>
      <c r="BJ718" s="109"/>
      <c r="BK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63"/>
      <c r="J719" s="109"/>
      <c r="K719" s="109"/>
      <c r="L719" s="109"/>
      <c r="M719" s="109"/>
      <c r="N719" s="109"/>
      <c r="O719" s="164"/>
      <c r="P719" s="165"/>
      <c r="Q719" s="165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  <c r="AU719" s="109"/>
      <c r="AV719" s="109"/>
      <c r="AW719" s="109"/>
      <c r="AX719" s="109"/>
      <c r="AY719" s="109"/>
      <c r="AZ719" s="109"/>
      <c r="BA719" s="109"/>
      <c r="BB719" s="109"/>
      <c r="BC719" s="109"/>
      <c r="BD719" s="109"/>
      <c r="BE719" s="109"/>
      <c r="BF719" s="109"/>
      <c r="BG719" s="109"/>
      <c r="BH719" s="109"/>
      <c r="BI719" s="109"/>
      <c r="BJ719" s="109"/>
      <c r="BK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63"/>
      <c r="J720" s="109"/>
      <c r="K720" s="109"/>
      <c r="L720" s="109"/>
      <c r="M720" s="109"/>
      <c r="N720" s="109"/>
      <c r="O720" s="164"/>
      <c r="P720" s="165"/>
      <c r="Q720" s="165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  <c r="AU720" s="109"/>
      <c r="AV720" s="109"/>
      <c r="AW720" s="109"/>
      <c r="AX720" s="109"/>
      <c r="AY720" s="109"/>
      <c r="AZ720" s="109"/>
      <c r="BA720" s="109"/>
      <c r="BB720" s="109"/>
      <c r="BC720" s="109"/>
      <c r="BD720" s="109"/>
      <c r="BE720" s="109"/>
      <c r="BF720" s="109"/>
      <c r="BG720" s="109"/>
      <c r="BH720" s="109"/>
      <c r="BI720" s="109"/>
      <c r="BJ720" s="109"/>
      <c r="BK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63"/>
      <c r="J721" s="109"/>
      <c r="K721" s="109"/>
      <c r="L721" s="109"/>
      <c r="M721" s="109"/>
      <c r="N721" s="109"/>
      <c r="O721" s="164"/>
      <c r="P721" s="165"/>
      <c r="Q721" s="165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  <c r="AU721" s="109"/>
      <c r="AV721" s="109"/>
      <c r="AW721" s="109"/>
      <c r="AX721" s="109"/>
      <c r="AY721" s="109"/>
      <c r="AZ721" s="109"/>
      <c r="BA721" s="109"/>
      <c r="BB721" s="109"/>
      <c r="BC721" s="109"/>
      <c r="BD721" s="109"/>
      <c r="BE721" s="109"/>
      <c r="BF721" s="109"/>
      <c r="BG721" s="109"/>
      <c r="BH721" s="109"/>
      <c r="BI721" s="109"/>
      <c r="BJ721" s="109"/>
      <c r="BK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63"/>
      <c r="J722" s="109"/>
      <c r="K722" s="109"/>
      <c r="L722" s="109"/>
      <c r="M722" s="109"/>
      <c r="N722" s="109"/>
      <c r="O722" s="164"/>
      <c r="P722" s="165"/>
      <c r="Q722" s="165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  <c r="AU722" s="109"/>
      <c r="AV722" s="109"/>
      <c r="AW722" s="109"/>
      <c r="AX722" s="109"/>
      <c r="AY722" s="109"/>
      <c r="AZ722" s="109"/>
      <c r="BA722" s="109"/>
      <c r="BB722" s="109"/>
      <c r="BC722" s="109"/>
      <c r="BD722" s="109"/>
      <c r="BE722" s="109"/>
      <c r="BF722" s="109"/>
      <c r="BG722" s="109"/>
      <c r="BH722" s="109"/>
      <c r="BI722" s="109"/>
      <c r="BJ722" s="109"/>
      <c r="BK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63"/>
      <c r="J723" s="109"/>
      <c r="K723" s="109"/>
      <c r="L723" s="109"/>
      <c r="M723" s="109"/>
      <c r="N723" s="109"/>
      <c r="O723" s="164"/>
      <c r="P723" s="165"/>
      <c r="Q723" s="165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  <c r="AU723" s="109"/>
      <c r="AV723" s="109"/>
      <c r="AW723" s="109"/>
      <c r="AX723" s="109"/>
      <c r="AY723" s="109"/>
      <c r="AZ723" s="109"/>
      <c r="BA723" s="109"/>
      <c r="BB723" s="109"/>
      <c r="BC723" s="109"/>
      <c r="BD723" s="109"/>
      <c r="BE723" s="109"/>
      <c r="BF723" s="109"/>
      <c r="BG723" s="109"/>
      <c r="BH723" s="109"/>
      <c r="BI723" s="109"/>
      <c r="BJ723" s="109"/>
      <c r="BK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63"/>
      <c r="J724" s="109"/>
      <c r="K724" s="109"/>
      <c r="L724" s="109"/>
      <c r="M724" s="109"/>
      <c r="N724" s="109"/>
      <c r="O724" s="164"/>
      <c r="P724" s="165"/>
      <c r="Q724" s="165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  <c r="AU724" s="109"/>
      <c r="AV724" s="109"/>
      <c r="AW724" s="109"/>
      <c r="AX724" s="109"/>
      <c r="AY724" s="109"/>
      <c r="AZ724" s="109"/>
      <c r="BA724" s="109"/>
      <c r="BB724" s="109"/>
      <c r="BC724" s="109"/>
      <c r="BD724" s="109"/>
      <c r="BE724" s="109"/>
      <c r="BF724" s="109"/>
      <c r="BG724" s="109"/>
      <c r="BH724" s="109"/>
      <c r="BI724" s="109"/>
      <c r="BJ724" s="109"/>
      <c r="BK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63"/>
      <c r="J725" s="109"/>
      <c r="K725" s="109"/>
      <c r="L725" s="109"/>
      <c r="M725" s="109"/>
      <c r="N725" s="109"/>
      <c r="O725" s="164"/>
      <c r="P725" s="165"/>
      <c r="Q725" s="165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  <c r="AU725" s="109"/>
      <c r="AV725" s="109"/>
      <c r="AW725" s="109"/>
      <c r="AX725" s="109"/>
      <c r="AY725" s="109"/>
      <c r="AZ725" s="109"/>
      <c r="BA725" s="109"/>
      <c r="BB725" s="109"/>
      <c r="BC725" s="109"/>
      <c r="BD725" s="109"/>
      <c r="BE725" s="109"/>
      <c r="BF725" s="109"/>
      <c r="BG725" s="109"/>
      <c r="BH725" s="109"/>
      <c r="BI725" s="109"/>
      <c r="BJ725" s="109"/>
      <c r="BK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63"/>
      <c r="J726" s="109"/>
      <c r="K726" s="109"/>
      <c r="L726" s="109"/>
      <c r="M726" s="109"/>
      <c r="N726" s="109"/>
      <c r="O726" s="164"/>
      <c r="P726" s="165"/>
      <c r="Q726" s="165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  <c r="AU726" s="109"/>
      <c r="AV726" s="109"/>
      <c r="AW726" s="109"/>
      <c r="AX726" s="109"/>
      <c r="AY726" s="109"/>
      <c r="AZ726" s="109"/>
      <c r="BA726" s="109"/>
      <c r="BB726" s="109"/>
      <c r="BC726" s="109"/>
      <c r="BD726" s="109"/>
      <c r="BE726" s="109"/>
      <c r="BF726" s="109"/>
      <c r="BG726" s="109"/>
      <c r="BH726" s="109"/>
      <c r="BI726" s="109"/>
      <c r="BJ726" s="109"/>
      <c r="BK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63"/>
      <c r="J727" s="109"/>
      <c r="K727" s="109"/>
      <c r="L727" s="109"/>
      <c r="M727" s="109"/>
      <c r="N727" s="109"/>
      <c r="O727" s="164"/>
      <c r="P727" s="165"/>
      <c r="Q727" s="165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  <c r="AU727" s="109"/>
      <c r="AV727" s="109"/>
      <c r="AW727" s="109"/>
      <c r="AX727" s="109"/>
      <c r="AY727" s="109"/>
      <c r="AZ727" s="109"/>
      <c r="BA727" s="109"/>
      <c r="BB727" s="109"/>
      <c r="BC727" s="109"/>
      <c r="BD727" s="109"/>
      <c r="BE727" s="109"/>
      <c r="BF727" s="109"/>
      <c r="BG727" s="109"/>
      <c r="BH727" s="109"/>
      <c r="BI727" s="109"/>
      <c r="BJ727" s="109"/>
      <c r="BK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63"/>
      <c r="J728" s="109"/>
      <c r="K728" s="109"/>
      <c r="L728" s="109"/>
      <c r="M728" s="109"/>
      <c r="N728" s="109"/>
      <c r="O728" s="164"/>
      <c r="P728" s="165"/>
      <c r="Q728" s="165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  <c r="AU728" s="109"/>
      <c r="AV728" s="109"/>
      <c r="AW728" s="109"/>
      <c r="AX728" s="109"/>
      <c r="AY728" s="109"/>
      <c r="AZ728" s="109"/>
      <c r="BA728" s="109"/>
      <c r="BB728" s="109"/>
      <c r="BC728" s="109"/>
      <c r="BD728" s="109"/>
      <c r="BE728" s="109"/>
      <c r="BF728" s="109"/>
      <c r="BG728" s="109"/>
      <c r="BH728" s="109"/>
      <c r="BI728" s="109"/>
      <c r="BJ728" s="109"/>
      <c r="BK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63"/>
      <c r="J729" s="109"/>
      <c r="K729" s="109"/>
      <c r="L729" s="109"/>
      <c r="M729" s="109"/>
      <c r="N729" s="109"/>
      <c r="O729" s="164"/>
      <c r="P729" s="165"/>
      <c r="Q729" s="165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  <c r="AU729" s="109"/>
      <c r="AV729" s="109"/>
      <c r="AW729" s="109"/>
      <c r="AX729" s="109"/>
      <c r="AY729" s="109"/>
      <c r="AZ729" s="109"/>
      <c r="BA729" s="109"/>
      <c r="BB729" s="109"/>
      <c r="BC729" s="109"/>
      <c r="BD729" s="109"/>
      <c r="BE729" s="109"/>
      <c r="BF729" s="109"/>
      <c r="BG729" s="109"/>
      <c r="BH729" s="109"/>
      <c r="BI729" s="109"/>
      <c r="BJ729" s="109"/>
      <c r="BK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63"/>
      <c r="J730" s="109"/>
      <c r="K730" s="109"/>
      <c r="L730" s="109"/>
      <c r="M730" s="109"/>
      <c r="N730" s="109"/>
      <c r="O730" s="164"/>
      <c r="P730" s="165"/>
      <c r="Q730" s="165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  <c r="AU730" s="109"/>
      <c r="AV730" s="109"/>
      <c r="AW730" s="109"/>
      <c r="AX730" s="109"/>
      <c r="AY730" s="109"/>
      <c r="AZ730" s="109"/>
      <c r="BA730" s="109"/>
      <c r="BB730" s="109"/>
      <c r="BC730" s="109"/>
      <c r="BD730" s="109"/>
      <c r="BE730" s="109"/>
      <c r="BF730" s="109"/>
      <c r="BG730" s="109"/>
      <c r="BH730" s="109"/>
      <c r="BI730" s="109"/>
      <c r="BJ730" s="109"/>
      <c r="BK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63"/>
      <c r="J731" s="109"/>
      <c r="K731" s="109"/>
      <c r="L731" s="109"/>
      <c r="M731" s="109"/>
      <c r="N731" s="109"/>
      <c r="O731" s="164"/>
      <c r="P731" s="165"/>
      <c r="Q731" s="165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  <c r="AU731" s="109"/>
      <c r="AV731" s="109"/>
      <c r="AW731" s="109"/>
      <c r="AX731" s="109"/>
      <c r="AY731" s="109"/>
      <c r="AZ731" s="109"/>
      <c r="BA731" s="109"/>
      <c r="BB731" s="109"/>
      <c r="BC731" s="109"/>
      <c r="BD731" s="109"/>
      <c r="BE731" s="109"/>
      <c r="BF731" s="109"/>
      <c r="BG731" s="109"/>
      <c r="BH731" s="109"/>
      <c r="BI731" s="109"/>
      <c r="BJ731" s="109"/>
      <c r="BK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63"/>
      <c r="J732" s="109"/>
      <c r="K732" s="109"/>
      <c r="L732" s="109"/>
      <c r="M732" s="109"/>
      <c r="N732" s="109"/>
      <c r="O732" s="164"/>
      <c r="P732" s="165"/>
      <c r="Q732" s="165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  <c r="AU732" s="109"/>
      <c r="AV732" s="109"/>
      <c r="AW732" s="109"/>
      <c r="AX732" s="109"/>
      <c r="AY732" s="109"/>
      <c r="AZ732" s="109"/>
      <c r="BA732" s="109"/>
      <c r="BB732" s="109"/>
      <c r="BC732" s="109"/>
      <c r="BD732" s="109"/>
      <c r="BE732" s="109"/>
      <c r="BF732" s="109"/>
      <c r="BG732" s="109"/>
      <c r="BH732" s="109"/>
      <c r="BI732" s="109"/>
      <c r="BJ732" s="109"/>
      <c r="BK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63"/>
      <c r="J733" s="109"/>
      <c r="K733" s="109"/>
      <c r="L733" s="109"/>
      <c r="M733" s="109"/>
      <c r="N733" s="109"/>
      <c r="O733" s="164"/>
      <c r="P733" s="165"/>
      <c r="Q733" s="165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  <c r="AU733" s="109"/>
      <c r="AV733" s="109"/>
      <c r="AW733" s="109"/>
      <c r="AX733" s="109"/>
      <c r="AY733" s="109"/>
      <c r="AZ733" s="109"/>
      <c r="BA733" s="109"/>
      <c r="BB733" s="109"/>
      <c r="BC733" s="109"/>
      <c r="BD733" s="109"/>
      <c r="BE733" s="109"/>
      <c r="BF733" s="109"/>
      <c r="BG733" s="109"/>
      <c r="BH733" s="109"/>
      <c r="BI733" s="109"/>
      <c r="BJ733" s="109"/>
      <c r="BK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63"/>
      <c r="J734" s="109"/>
      <c r="K734" s="109"/>
      <c r="L734" s="109"/>
      <c r="M734" s="109"/>
      <c r="N734" s="109"/>
      <c r="O734" s="164"/>
      <c r="P734" s="165"/>
      <c r="Q734" s="165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  <c r="AU734" s="109"/>
      <c r="AV734" s="109"/>
      <c r="AW734" s="109"/>
      <c r="AX734" s="109"/>
      <c r="AY734" s="109"/>
      <c r="AZ734" s="109"/>
      <c r="BA734" s="109"/>
      <c r="BB734" s="109"/>
      <c r="BC734" s="109"/>
      <c r="BD734" s="109"/>
      <c r="BE734" s="109"/>
      <c r="BF734" s="109"/>
      <c r="BG734" s="109"/>
      <c r="BH734" s="109"/>
      <c r="BI734" s="109"/>
      <c r="BJ734" s="109"/>
      <c r="BK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63"/>
      <c r="J735" s="109"/>
      <c r="K735" s="109"/>
      <c r="L735" s="109"/>
      <c r="M735" s="109"/>
      <c r="N735" s="109"/>
      <c r="O735" s="164"/>
      <c r="P735" s="165"/>
      <c r="Q735" s="165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  <c r="AU735" s="109"/>
      <c r="AV735" s="109"/>
      <c r="AW735" s="109"/>
      <c r="AX735" s="109"/>
      <c r="AY735" s="109"/>
      <c r="AZ735" s="109"/>
      <c r="BA735" s="109"/>
      <c r="BB735" s="109"/>
      <c r="BC735" s="109"/>
      <c r="BD735" s="109"/>
      <c r="BE735" s="109"/>
      <c r="BF735" s="109"/>
      <c r="BG735" s="109"/>
      <c r="BH735" s="109"/>
      <c r="BI735" s="109"/>
      <c r="BJ735" s="109"/>
      <c r="BK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63"/>
      <c r="J736" s="109"/>
      <c r="K736" s="109"/>
      <c r="L736" s="109"/>
      <c r="M736" s="109"/>
      <c r="N736" s="109"/>
      <c r="O736" s="164"/>
      <c r="P736" s="165"/>
      <c r="Q736" s="165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  <c r="AU736" s="109"/>
      <c r="AV736" s="109"/>
      <c r="AW736" s="109"/>
      <c r="AX736" s="109"/>
      <c r="AY736" s="109"/>
      <c r="AZ736" s="109"/>
      <c r="BA736" s="109"/>
      <c r="BB736" s="109"/>
      <c r="BC736" s="109"/>
      <c r="BD736" s="109"/>
      <c r="BE736" s="109"/>
      <c r="BF736" s="109"/>
      <c r="BG736" s="109"/>
      <c r="BH736" s="109"/>
      <c r="BI736" s="109"/>
      <c r="BJ736" s="109"/>
      <c r="BK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63"/>
      <c r="J737" s="109"/>
      <c r="K737" s="109"/>
      <c r="L737" s="109"/>
      <c r="M737" s="109"/>
      <c r="N737" s="109"/>
      <c r="O737" s="164"/>
      <c r="P737" s="165"/>
      <c r="Q737" s="165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  <c r="AU737" s="109"/>
      <c r="AV737" s="109"/>
      <c r="AW737" s="109"/>
      <c r="AX737" s="109"/>
      <c r="AY737" s="109"/>
      <c r="AZ737" s="109"/>
      <c r="BA737" s="109"/>
      <c r="BB737" s="109"/>
      <c r="BC737" s="109"/>
      <c r="BD737" s="109"/>
      <c r="BE737" s="109"/>
      <c r="BF737" s="109"/>
      <c r="BG737" s="109"/>
      <c r="BH737" s="109"/>
      <c r="BI737" s="109"/>
      <c r="BJ737" s="109"/>
      <c r="BK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63"/>
      <c r="J738" s="109"/>
      <c r="K738" s="109"/>
      <c r="L738" s="109"/>
      <c r="M738" s="109"/>
      <c r="N738" s="109"/>
      <c r="O738" s="164"/>
      <c r="P738" s="165"/>
      <c r="Q738" s="165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  <c r="AU738" s="109"/>
      <c r="AV738" s="109"/>
      <c r="AW738" s="109"/>
      <c r="AX738" s="109"/>
      <c r="AY738" s="109"/>
      <c r="AZ738" s="109"/>
      <c r="BA738" s="109"/>
      <c r="BB738" s="109"/>
      <c r="BC738" s="109"/>
      <c r="BD738" s="109"/>
      <c r="BE738" s="109"/>
      <c r="BF738" s="109"/>
      <c r="BG738" s="109"/>
      <c r="BH738" s="109"/>
      <c r="BI738" s="109"/>
      <c r="BJ738" s="109"/>
      <c r="BK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63"/>
      <c r="J739" s="109"/>
      <c r="K739" s="109"/>
      <c r="L739" s="109"/>
      <c r="M739" s="109"/>
      <c r="N739" s="109"/>
      <c r="O739" s="164"/>
      <c r="P739" s="165"/>
      <c r="Q739" s="165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  <c r="AU739" s="109"/>
      <c r="AV739" s="109"/>
      <c r="AW739" s="109"/>
      <c r="AX739" s="109"/>
      <c r="AY739" s="109"/>
      <c r="AZ739" s="109"/>
      <c r="BA739" s="109"/>
      <c r="BB739" s="109"/>
      <c r="BC739" s="109"/>
      <c r="BD739" s="109"/>
      <c r="BE739" s="109"/>
      <c r="BF739" s="109"/>
      <c r="BG739" s="109"/>
      <c r="BH739" s="109"/>
      <c r="BI739" s="109"/>
      <c r="BJ739" s="109"/>
      <c r="BK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63"/>
      <c r="J740" s="109"/>
      <c r="K740" s="109"/>
      <c r="L740" s="109"/>
      <c r="M740" s="109"/>
      <c r="N740" s="109"/>
      <c r="O740" s="164"/>
      <c r="P740" s="165"/>
      <c r="Q740" s="165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  <c r="AU740" s="109"/>
      <c r="AV740" s="109"/>
      <c r="AW740" s="109"/>
      <c r="AX740" s="109"/>
      <c r="AY740" s="109"/>
      <c r="AZ740" s="109"/>
      <c r="BA740" s="109"/>
      <c r="BB740" s="109"/>
      <c r="BC740" s="109"/>
      <c r="BD740" s="109"/>
      <c r="BE740" s="109"/>
      <c r="BF740" s="109"/>
      <c r="BG740" s="109"/>
      <c r="BH740" s="109"/>
      <c r="BI740" s="109"/>
      <c r="BJ740" s="109"/>
      <c r="BK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63"/>
      <c r="J741" s="109"/>
      <c r="K741" s="109"/>
      <c r="L741" s="109"/>
      <c r="M741" s="109"/>
      <c r="N741" s="109"/>
      <c r="O741" s="164"/>
      <c r="P741" s="165"/>
      <c r="Q741" s="165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  <c r="AU741" s="109"/>
      <c r="AV741" s="109"/>
      <c r="AW741" s="109"/>
      <c r="AX741" s="109"/>
      <c r="AY741" s="109"/>
      <c r="AZ741" s="109"/>
      <c r="BA741" s="109"/>
      <c r="BB741" s="109"/>
      <c r="BC741" s="109"/>
      <c r="BD741" s="109"/>
      <c r="BE741" s="109"/>
      <c r="BF741" s="109"/>
      <c r="BG741" s="109"/>
      <c r="BH741" s="109"/>
      <c r="BI741" s="109"/>
      <c r="BJ741" s="109"/>
      <c r="BK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63"/>
      <c r="J742" s="109"/>
      <c r="K742" s="109"/>
      <c r="L742" s="109"/>
      <c r="M742" s="109"/>
      <c r="N742" s="109"/>
      <c r="O742" s="164"/>
      <c r="P742" s="165"/>
      <c r="Q742" s="165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  <c r="AU742" s="109"/>
      <c r="AV742" s="109"/>
      <c r="AW742" s="109"/>
      <c r="AX742" s="109"/>
      <c r="AY742" s="109"/>
      <c r="AZ742" s="109"/>
      <c r="BA742" s="109"/>
      <c r="BB742" s="109"/>
      <c r="BC742" s="109"/>
      <c r="BD742" s="109"/>
      <c r="BE742" s="109"/>
      <c r="BF742" s="109"/>
      <c r="BG742" s="109"/>
      <c r="BH742" s="109"/>
      <c r="BI742" s="109"/>
      <c r="BJ742" s="109"/>
      <c r="BK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63"/>
      <c r="J743" s="109"/>
      <c r="K743" s="109"/>
      <c r="L743" s="109"/>
      <c r="M743" s="109"/>
      <c r="N743" s="109"/>
      <c r="O743" s="164"/>
      <c r="P743" s="165"/>
      <c r="Q743" s="165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  <c r="AU743" s="109"/>
      <c r="AV743" s="109"/>
      <c r="AW743" s="109"/>
      <c r="AX743" s="109"/>
      <c r="AY743" s="109"/>
      <c r="AZ743" s="109"/>
      <c r="BA743" s="109"/>
      <c r="BB743" s="109"/>
      <c r="BC743" s="109"/>
      <c r="BD743" s="109"/>
      <c r="BE743" s="109"/>
      <c r="BF743" s="109"/>
      <c r="BG743" s="109"/>
      <c r="BH743" s="109"/>
      <c r="BI743" s="109"/>
      <c r="BJ743" s="109"/>
      <c r="BK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63"/>
      <c r="J744" s="109"/>
      <c r="K744" s="109"/>
      <c r="L744" s="109"/>
      <c r="M744" s="109"/>
      <c r="N744" s="109"/>
      <c r="O744" s="164"/>
      <c r="P744" s="165"/>
      <c r="Q744" s="165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  <c r="AU744" s="109"/>
      <c r="AV744" s="109"/>
      <c r="AW744" s="109"/>
      <c r="AX744" s="109"/>
      <c r="AY744" s="109"/>
      <c r="AZ744" s="109"/>
      <c r="BA744" s="109"/>
      <c r="BB744" s="109"/>
      <c r="BC744" s="109"/>
      <c r="BD744" s="109"/>
      <c r="BE744" s="109"/>
      <c r="BF744" s="109"/>
      <c r="BG744" s="109"/>
      <c r="BH744" s="109"/>
      <c r="BI744" s="109"/>
      <c r="BJ744" s="109"/>
      <c r="BK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63"/>
      <c r="J745" s="109"/>
      <c r="K745" s="109"/>
      <c r="L745" s="109"/>
      <c r="M745" s="109"/>
      <c r="N745" s="109"/>
      <c r="O745" s="164"/>
      <c r="P745" s="165"/>
      <c r="Q745" s="165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  <c r="AU745" s="109"/>
      <c r="AV745" s="109"/>
      <c r="AW745" s="109"/>
      <c r="AX745" s="109"/>
      <c r="AY745" s="109"/>
      <c r="AZ745" s="109"/>
      <c r="BA745" s="109"/>
      <c r="BB745" s="109"/>
      <c r="BC745" s="109"/>
      <c r="BD745" s="109"/>
      <c r="BE745" s="109"/>
      <c r="BF745" s="109"/>
      <c r="BG745" s="109"/>
      <c r="BH745" s="109"/>
      <c r="BI745" s="109"/>
      <c r="BJ745" s="109"/>
      <c r="BK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63"/>
      <c r="J746" s="109"/>
      <c r="K746" s="109"/>
      <c r="L746" s="109"/>
      <c r="M746" s="109"/>
      <c r="N746" s="109"/>
      <c r="O746" s="164"/>
      <c r="P746" s="165"/>
      <c r="Q746" s="165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  <c r="AU746" s="109"/>
      <c r="AV746" s="109"/>
      <c r="AW746" s="109"/>
      <c r="AX746" s="109"/>
      <c r="AY746" s="109"/>
      <c r="AZ746" s="109"/>
      <c r="BA746" s="109"/>
      <c r="BB746" s="109"/>
      <c r="BC746" s="109"/>
      <c r="BD746" s="109"/>
      <c r="BE746" s="109"/>
      <c r="BF746" s="109"/>
      <c r="BG746" s="109"/>
      <c r="BH746" s="109"/>
      <c r="BI746" s="109"/>
      <c r="BJ746" s="109"/>
      <c r="BK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63"/>
      <c r="J747" s="109"/>
      <c r="K747" s="109"/>
      <c r="L747" s="109"/>
      <c r="M747" s="109"/>
      <c r="N747" s="109"/>
      <c r="O747" s="164"/>
      <c r="P747" s="165"/>
      <c r="Q747" s="165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  <c r="AU747" s="109"/>
      <c r="AV747" s="109"/>
      <c r="AW747" s="109"/>
      <c r="AX747" s="109"/>
      <c r="AY747" s="109"/>
      <c r="AZ747" s="109"/>
      <c r="BA747" s="109"/>
      <c r="BB747" s="109"/>
      <c r="BC747" s="109"/>
      <c r="BD747" s="109"/>
      <c r="BE747" s="109"/>
      <c r="BF747" s="109"/>
      <c r="BG747" s="109"/>
      <c r="BH747" s="109"/>
      <c r="BI747" s="109"/>
      <c r="BJ747" s="109"/>
      <c r="BK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63"/>
      <c r="J748" s="109"/>
      <c r="K748" s="109"/>
      <c r="L748" s="109"/>
      <c r="M748" s="109"/>
      <c r="N748" s="109"/>
      <c r="O748" s="164"/>
      <c r="P748" s="165"/>
      <c r="Q748" s="165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  <c r="AU748" s="109"/>
      <c r="AV748" s="109"/>
      <c r="AW748" s="109"/>
      <c r="AX748" s="109"/>
      <c r="AY748" s="109"/>
      <c r="AZ748" s="109"/>
      <c r="BA748" s="109"/>
      <c r="BB748" s="109"/>
      <c r="BC748" s="109"/>
      <c r="BD748" s="109"/>
      <c r="BE748" s="109"/>
      <c r="BF748" s="109"/>
      <c r="BG748" s="109"/>
      <c r="BH748" s="109"/>
      <c r="BI748" s="109"/>
      <c r="BJ748" s="109"/>
      <c r="BK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63"/>
      <c r="J749" s="109"/>
      <c r="K749" s="109"/>
      <c r="L749" s="109"/>
      <c r="M749" s="109"/>
      <c r="N749" s="109"/>
      <c r="O749" s="164"/>
      <c r="P749" s="165"/>
      <c r="Q749" s="165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  <c r="AU749" s="109"/>
      <c r="AV749" s="109"/>
      <c r="AW749" s="109"/>
      <c r="AX749" s="109"/>
      <c r="AY749" s="109"/>
      <c r="AZ749" s="109"/>
      <c r="BA749" s="109"/>
      <c r="BB749" s="109"/>
      <c r="BC749" s="109"/>
      <c r="BD749" s="109"/>
      <c r="BE749" s="109"/>
      <c r="BF749" s="109"/>
      <c r="BG749" s="109"/>
      <c r="BH749" s="109"/>
      <c r="BI749" s="109"/>
      <c r="BJ749" s="109"/>
      <c r="BK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63"/>
      <c r="J750" s="109"/>
      <c r="K750" s="109"/>
      <c r="L750" s="109"/>
      <c r="M750" s="109"/>
      <c r="N750" s="109"/>
      <c r="O750" s="164"/>
      <c r="P750" s="165"/>
      <c r="Q750" s="165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  <c r="AU750" s="109"/>
      <c r="AV750" s="109"/>
      <c r="AW750" s="109"/>
      <c r="AX750" s="109"/>
      <c r="AY750" s="109"/>
      <c r="AZ750" s="109"/>
      <c r="BA750" s="109"/>
      <c r="BB750" s="109"/>
      <c r="BC750" s="109"/>
      <c r="BD750" s="109"/>
      <c r="BE750" s="109"/>
      <c r="BF750" s="109"/>
      <c r="BG750" s="109"/>
      <c r="BH750" s="109"/>
      <c r="BI750" s="109"/>
      <c r="BJ750" s="109"/>
      <c r="BK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63"/>
      <c r="J751" s="109"/>
      <c r="K751" s="109"/>
      <c r="L751" s="109"/>
      <c r="M751" s="109"/>
      <c r="N751" s="109"/>
      <c r="O751" s="164"/>
      <c r="P751" s="165"/>
      <c r="Q751" s="165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  <c r="AU751" s="109"/>
      <c r="AV751" s="109"/>
      <c r="AW751" s="109"/>
      <c r="AX751" s="109"/>
      <c r="AY751" s="109"/>
      <c r="AZ751" s="109"/>
      <c r="BA751" s="109"/>
      <c r="BB751" s="109"/>
      <c r="BC751" s="109"/>
      <c r="BD751" s="109"/>
      <c r="BE751" s="109"/>
      <c r="BF751" s="109"/>
      <c r="BG751" s="109"/>
      <c r="BH751" s="109"/>
      <c r="BI751" s="109"/>
      <c r="BJ751" s="109"/>
      <c r="BK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63"/>
      <c r="J752" s="109"/>
      <c r="K752" s="109"/>
      <c r="L752" s="109"/>
      <c r="M752" s="109"/>
      <c r="N752" s="109"/>
      <c r="O752" s="164"/>
      <c r="P752" s="165"/>
      <c r="Q752" s="165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  <c r="AU752" s="109"/>
      <c r="AV752" s="109"/>
      <c r="AW752" s="109"/>
      <c r="AX752" s="109"/>
      <c r="AY752" s="109"/>
      <c r="AZ752" s="109"/>
      <c r="BA752" s="109"/>
      <c r="BB752" s="109"/>
      <c r="BC752" s="109"/>
      <c r="BD752" s="109"/>
      <c r="BE752" s="109"/>
      <c r="BF752" s="109"/>
      <c r="BG752" s="109"/>
      <c r="BH752" s="109"/>
      <c r="BI752" s="109"/>
      <c r="BJ752" s="109"/>
      <c r="BK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63"/>
      <c r="J753" s="109"/>
      <c r="K753" s="109"/>
      <c r="L753" s="109"/>
      <c r="M753" s="109"/>
      <c r="N753" s="109"/>
      <c r="O753" s="164"/>
      <c r="P753" s="165"/>
      <c r="Q753" s="165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  <c r="AU753" s="109"/>
      <c r="AV753" s="109"/>
      <c r="AW753" s="109"/>
      <c r="AX753" s="109"/>
      <c r="AY753" s="109"/>
      <c r="AZ753" s="109"/>
      <c r="BA753" s="109"/>
      <c r="BB753" s="109"/>
      <c r="BC753" s="109"/>
      <c r="BD753" s="109"/>
      <c r="BE753" s="109"/>
      <c r="BF753" s="109"/>
      <c r="BG753" s="109"/>
      <c r="BH753" s="109"/>
      <c r="BI753" s="109"/>
      <c r="BJ753" s="109"/>
      <c r="BK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63"/>
      <c r="J754" s="109"/>
      <c r="K754" s="109"/>
      <c r="L754" s="109"/>
      <c r="M754" s="109"/>
      <c r="N754" s="109"/>
      <c r="O754" s="164"/>
      <c r="P754" s="165"/>
      <c r="Q754" s="165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  <c r="AU754" s="109"/>
      <c r="AV754" s="109"/>
      <c r="AW754" s="109"/>
      <c r="AX754" s="109"/>
      <c r="AY754" s="109"/>
      <c r="AZ754" s="109"/>
      <c r="BA754" s="109"/>
      <c r="BB754" s="109"/>
      <c r="BC754" s="109"/>
      <c r="BD754" s="109"/>
      <c r="BE754" s="109"/>
      <c r="BF754" s="109"/>
      <c r="BG754" s="109"/>
      <c r="BH754" s="109"/>
      <c r="BI754" s="109"/>
      <c r="BJ754" s="109"/>
      <c r="BK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63"/>
      <c r="J755" s="109"/>
      <c r="K755" s="109"/>
      <c r="L755" s="109"/>
      <c r="M755" s="109"/>
      <c r="N755" s="109"/>
      <c r="O755" s="164"/>
      <c r="P755" s="165"/>
      <c r="Q755" s="165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  <c r="AU755" s="109"/>
      <c r="AV755" s="109"/>
      <c r="AW755" s="109"/>
      <c r="AX755" s="109"/>
      <c r="AY755" s="109"/>
      <c r="AZ755" s="109"/>
      <c r="BA755" s="109"/>
      <c r="BB755" s="109"/>
      <c r="BC755" s="109"/>
      <c r="BD755" s="109"/>
      <c r="BE755" s="109"/>
      <c r="BF755" s="109"/>
      <c r="BG755" s="109"/>
      <c r="BH755" s="109"/>
      <c r="BI755" s="109"/>
      <c r="BJ755" s="109"/>
      <c r="BK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63"/>
      <c r="J756" s="109"/>
      <c r="K756" s="109"/>
      <c r="L756" s="109"/>
      <c r="M756" s="109"/>
      <c r="N756" s="109"/>
      <c r="O756" s="164"/>
      <c r="P756" s="165"/>
      <c r="Q756" s="165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  <c r="AU756" s="109"/>
      <c r="AV756" s="109"/>
      <c r="AW756" s="109"/>
      <c r="AX756" s="109"/>
      <c r="AY756" s="109"/>
      <c r="AZ756" s="109"/>
      <c r="BA756" s="109"/>
      <c r="BB756" s="109"/>
      <c r="BC756" s="109"/>
      <c r="BD756" s="109"/>
      <c r="BE756" s="109"/>
      <c r="BF756" s="109"/>
      <c r="BG756" s="109"/>
      <c r="BH756" s="109"/>
      <c r="BI756" s="109"/>
      <c r="BJ756" s="109"/>
      <c r="BK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63"/>
      <c r="J757" s="109"/>
      <c r="K757" s="109"/>
      <c r="L757" s="109"/>
      <c r="M757" s="109"/>
      <c r="N757" s="109"/>
      <c r="O757" s="164"/>
      <c r="P757" s="165"/>
      <c r="Q757" s="165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  <c r="AU757" s="109"/>
      <c r="AV757" s="109"/>
      <c r="AW757" s="109"/>
      <c r="AX757" s="109"/>
      <c r="AY757" s="109"/>
      <c r="AZ757" s="109"/>
      <c r="BA757" s="109"/>
      <c r="BB757" s="109"/>
      <c r="BC757" s="109"/>
      <c r="BD757" s="109"/>
      <c r="BE757" s="109"/>
      <c r="BF757" s="109"/>
      <c r="BG757" s="109"/>
      <c r="BH757" s="109"/>
      <c r="BI757" s="109"/>
      <c r="BJ757" s="109"/>
      <c r="BK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63"/>
      <c r="J758" s="109"/>
      <c r="K758" s="109"/>
      <c r="L758" s="109"/>
      <c r="M758" s="109"/>
      <c r="N758" s="109"/>
      <c r="O758" s="164"/>
      <c r="P758" s="165"/>
      <c r="Q758" s="165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  <c r="AU758" s="109"/>
      <c r="AV758" s="109"/>
      <c r="AW758" s="109"/>
      <c r="AX758" s="109"/>
      <c r="AY758" s="109"/>
      <c r="AZ758" s="109"/>
      <c r="BA758" s="109"/>
      <c r="BB758" s="109"/>
      <c r="BC758" s="109"/>
      <c r="BD758" s="109"/>
      <c r="BE758" s="109"/>
      <c r="BF758" s="109"/>
      <c r="BG758" s="109"/>
      <c r="BH758" s="109"/>
      <c r="BI758" s="109"/>
      <c r="BJ758" s="109"/>
      <c r="BK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63"/>
      <c r="J759" s="109"/>
      <c r="K759" s="109"/>
      <c r="L759" s="109"/>
      <c r="M759" s="109"/>
      <c r="N759" s="109"/>
      <c r="O759" s="164"/>
      <c r="P759" s="165"/>
      <c r="Q759" s="165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  <c r="AU759" s="109"/>
      <c r="AV759" s="109"/>
      <c r="AW759" s="109"/>
      <c r="AX759" s="109"/>
      <c r="AY759" s="109"/>
      <c r="AZ759" s="109"/>
      <c r="BA759" s="109"/>
      <c r="BB759" s="109"/>
      <c r="BC759" s="109"/>
      <c r="BD759" s="109"/>
      <c r="BE759" s="109"/>
      <c r="BF759" s="109"/>
      <c r="BG759" s="109"/>
      <c r="BH759" s="109"/>
      <c r="BI759" s="109"/>
      <c r="BJ759" s="109"/>
      <c r="BK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63"/>
      <c r="J760" s="109"/>
      <c r="K760" s="109"/>
      <c r="L760" s="109"/>
      <c r="M760" s="109"/>
      <c r="N760" s="109"/>
      <c r="O760" s="164"/>
      <c r="P760" s="165"/>
      <c r="Q760" s="165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  <c r="AU760" s="109"/>
      <c r="AV760" s="109"/>
      <c r="AW760" s="109"/>
      <c r="AX760" s="109"/>
      <c r="AY760" s="109"/>
      <c r="AZ760" s="109"/>
      <c r="BA760" s="109"/>
      <c r="BB760" s="109"/>
      <c r="BC760" s="109"/>
      <c r="BD760" s="109"/>
      <c r="BE760" s="109"/>
      <c r="BF760" s="109"/>
      <c r="BG760" s="109"/>
      <c r="BH760" s="109"/>
      <c r="BI760" s="109"/>
      <c r="BJ760" s="109"/>
      <c r="BK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63"/>
      <c r="J761" s="109"/>
      <c r="K761" s="109"/>
      <c r="L761" s="109"/>
      <c r="M761" s="109"/>
      <c r="N761" s="109"/>
      <c r="O761" s="164"/>
      <c r="P761" s="165"/>
      <c r="Q761" s="165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  <c r="AU761" s="109"/>
      <c r="AV761" s="109"/>
      <c r="AW761" s="109"/>
      <c r="AX761" s="109"/>
      <c r="AY761" s="109"/>
      <c r="AZ761" s="109"/>
      <c r="BA761" s="109"/>
      <c r="BB761" s="109"/>
      <c r="BC761" s="109"/>
      <c r="BD761" s="109"/>
      <c r="BE761" s="109"/>
      <c r="BF761" s="109"/>
      <c r="BG761" s="109"/>
      <c r="BH761" s="109"/>
      <c r="BI761" s="109"/>
      <c r="BJ761" s="109"/>
      <c r="BK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63"/>
      <c r="J762" s="109"/>
      <c r="K762" s="109"/>
      <c r="L762" s="109"/>
      <c r="M762" s="109"/>
      <c r="N762" s="109"/>
      <c r="O762" s="164"/>
      <c r="P762" s="165"/>
      <c r="Q762" s="165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  <c r="AU762" s="109"/>
      <c r="AV762" s="109"/>
      <c r="AW762" s="109"/>
      <c r="AX762" s="109"/>
      <c r="AY762" s="109"/>
      <c r="AZ762" s="109"/>
      <c r="BA762" s="109"/>
      <c r="BB762" s="109"/>
      <c r="BC762" s="109"/>
      <c r="BD762" s="109"/>
      <c r="BE762" s="109"/>
      <c r="BF762" s="109"/>
      <c r="BG762" s="109"/>
      <c r="BH762" s="109"/>
      <c r="BI762" s="109"/>
      <c r="BJ762" s="109"/>
      <c r="BK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63"/>
      <c r="J763" s="109"/>
      <c r="K763" s="109"/>
      <c r="L763" s="109"/>
      <c r="M763" s="109"/>
      <c r="N763" s="109"/>
      <c r="O763" s="164"/>
      <c r="P763" s="165"/>
      <c r="Q763" s="165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  <c r="AU763" s="109"/>
      <c r="AV763" s="109"/>
      <c r="AW763" s="109"/>
      <c r="AX763" s="109"/>
      <c r="AY763" s="109"/>
      <c r="AZ763" s="109"/>
      <c r="BA763" s="109"/>
      <c r="BB763" s="109"/>
      <c r="BC763" s="109"/>
      <c r="BD763" s="109"/>
      <c r="BE763" s="109"/>
      <c r="BF763" s="109"/>
      <c r="BG763" s="109"/>
      <c r="BH763" s="109"/>
      <c r="BI763" s="109"/>
      <c r="BJ763" s="109"/>
      <c r="BK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63"/>
      <c r="J764" s="109"/>
      <c r="K764" s="109"/>
      <c r="L764" s="109"/>
      <c r="M764" s="109"/>
      <c r="N764" s="109"/>
      <c r="O764" s="164"/>
      <c r="P764" s="165"/>
      <c r="Q764" s="165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  <c r="AU764" s="109"/>
      <c r="AV764" s="109"/>
      <c r="AW764" s="109"/>
      <c r="AX764" s="109"/>
      <c r="AY764" s="109"/>
      <c r="AZ764" s="109"/>
      <c r="BA764" s="109"/>
      <c r="BB764" s="109"/>
      <c r="BC764" s="109"/>
      <c r="BD764" s="109"/>
      <c r="BE764" s="109"/>
      <c r="BF764" s="109"/>
      <c r="BG764" s="109"/>
      <c r="BH764" s="109"/>
      <c r="BI764" s="109"/>
      <c r="BJ764" s="109"/>
      <c r="BK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63"/>
      <c r="J765" s="109"/>
      <c r="K765" s="109"/>
      <c r="L765" s="109"/>
      <c r="M765" s="109"/>
      <c r="N765" s="109"/>
      <c r="O765" s="164"/>
      <c r="P765" s="165"/>
      <c r="Q765" s="165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  <c r="AU765" s="109"/>
      <c r="AV765" s="109"/>
      <c r="AW765" s="109"/>
      <c r="AX765" s="109"/>
      <c r="AY765" s="109"/>
      <c r="AZ765" s="109"/>
      <c r="BA765" s="109"/>
      <c r="BB765" s="109"/>
      <c r="BC765" s="109"/>
      <c r="BD765" s="109"/>
      <c r="BE765" s="109"/>
      <c r="BF765" s="109"/>
      <c r="BG765" s="109"/>
      <c r="BH765" s="109"/>
      <c r="BI765" s="109"/>
      <c r="BJ765" s="109"/>
      <c r="BK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63"/>
      <c r="J766" s="109"/>
      <c r="K766" s="109"/>
      <c r="L766" s="109"/>
      <c r="M766" s="109"/>
      <c r="N766" s="109"/>
      <c r="O766" s="164"/>
      <c r="P766" s="165"/>
      <c r="Q766" s="165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  <c r="AU766" s="109"/>
      <c r="AV766" s="109"/>
      <c r="AW766" s="109"/>
      <c r="AX766" s="109"/>
      <c r="AY766" s="109"/>
      <c r="AZ766" s="109"/>
      <c r="BA766" s="109"/>
      <c r="BB766" s="109"/>
      <c r="BC766" s="109"/>
      <c r="BD766" s="109"/>
      <c r="BE766" s="109"/>
      <c r="BF766" s="109"/>
      <c r="BG766" s="109"/>
      <c r="BH766" s="109"/>
      <c r="BI766" s="109"/>
      <c r="BJ766" s="109"/>
      <c r="BK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63"/>
      <c r="J767" s="109"/>
      <c r="K767" s="109"/>
      <c r="L767" s="109"/>
      <c r="M767" s="109"/>
      <c r="N767" s="109"/>
      <c r="O767" s="164"/>
      <c r="P767" s="165"/>
      <c r="Q767" s="165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  <c r="AU767" s="109"/>
      <c r="AV767" s="109"/>
      <c r="AW767" s="109"/>
      <c r="AX767" s="109"/>
      <c r="AY767" s="109"/>
      <c r="AZ767" s="109"/>
      <c r="BA767" s="109"/>
      <c r="BB767" s="109"/>
      <c r="BC767" s="109"/>
      <c r="BD767" s="109"/>
      <c r="BE767" s="109"/>
      <c r="BF767" s="109"/>
      <c r="BG767" s="109"/>
      <c r="BH767" s="109"/>
      <c r="BI767" s="109"/>
      <c r="BJ767" s="109"/>
      <c r="BK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63"/>
      <c r="J768" s="109"/>
      <c r="K768" s="109"/>
      <c r="L768" s="109"/>
      <c r="M768" s="109"/>
      <c r="N768" s="109"/>
      <c r="O768" s="164"/>
      <c r="P768" s="165"/>
      <c r="Q768" s="165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  <c r="AU768" s="109"/>
      <c r="AV768" s="109"/>
      <c r="AW768" s="109"/>
      <c r="AX768" s="109"/>
      <c r="AY768" s="109"/>
      <c r="AZ768" s="109"/>
      <c r="BA768" s="109"/>
      <c r="BB768" s="109"/>
      <c r="BC768" s="109"/>
      <c r="BD768" s="109"/>
      <c r="BE768" s="109"/>
      <c r="BF768" s="109"/>
      <c r="BG768" s="109"/>
      <c r="BH768" s="109"/>
      <c r="BI768" s="109"/>
      <c r="BJ768" s="109"/>
      <c r="BK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63"/>
      <c r="J769" s="109"/>
      <c r="K769" s="109"/>
      <c r="L769" s="109"/>
      <c r="M769" s="109"/>
      <c r="N769" s="109"/>
      <c r="O769" s="164"/>
      <c r="P769" s="165"/>
      <c r="Q769" s="165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  <c r="AU769" s="109"/>
      <c r="AV769" s="109"/>
      <c r="AW769" s="109"/>
      <c r="AX769" s="109"/>
      <c r="AY769" s="109"/>
      <c r="AZ769" s="109"/>
      <c r="BA769" s="109"/>
      <c r="BB769" s="109"/>
      <c r="BC769" s="109"/>
      <c r="BD769" s="109"/>
      <c r="BE769" s="109"/>
      <c r="BF769" s="109"/>
      <c r="BG769" s="109"/>
      <c r="BH769" s="109"/>
      <c r="BI769" s="109"/>
      <c r="BJ769" s="109"/>
      <c r="BK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63"/>
      <c r="J770" s="109"/>
      <c r="K770" s="109"/>
      <c r="L770" s="109"/>
      <c r="M770" s="109"/>
      <c r="N770" s="109"/>
      <c r="O770" s="164"/>
      <c r="P770" s="165"/>
      <c r="Q770" s="165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  <c r="AO770" s="109"/>
      <c r="AP770" s="109"/>
      <c r="AQ770" s="109"/>
      <c r="AR770" s="109"/>
      <c r="AS770" s="109"/>
      <c r="AT770" s="109"/>
      <c r="AU770" s="109"/>
      <c r="AV770" s="109"/>
      <c r="AW770" s="109"/>
      <c r="AX770" s="109"/>
      <c r="AY770" s="109"/>
      <c r="AZ770" s="109"/>
      <c r="BA770" s="109"/>
      <c r="BB770" s="109"/>
      <c r="BC770" s="109"/>
      <c r="BD770" s="109"/>
      <c r="BE770" s="109"/>
      <c r="BF770" s="109"/>
      <c r="BG770" s="109"/>
      <c r="BH770" s="109"/>
      <c r="BI770" s="109"/>
      <c r="BJ770" s="109"/>
      <c r="BK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63"/>
      <c r="J771" s="109"/>
      <c r="K771" s="109"/>
      <c r="L771" s="109"/>
      <c r="M771" s="109"/>
      <c r="N771" s="109"/>
      <c r="O771" s="164"/>
      <c r="P771" s="165"/>
      <c r="Q771" s="165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  <c r="AO771" s="109"/>
      <c r="AP771" s="109"/>
      <c r="AQ771" s="109"/>
      <c r="AR771" s="109"/>
      <c r="AS771" s="109"/>
      <c r="AT771" s="109"/>
      <c r="AU771" s="109"/>
      <c r="AV771" s="109"/>
      <c r="AW771" s="109"/>
      <c r="AX771" s="109"/>
      <c r="AY771" s="109"/>
      <c r="AZ771" s="109"/>
      <c r="BA771" s="109"/>
      <c r="BB771" s="109"/>
      <c r="BC771" s="109"/>
      <c r="BD771" s="109"/>
      <c r="BE771" s="109"/>
      <c r="BF771" s="109"/>
      <c r="BG771" s="109"/>
      <c r="BH771" s="109"/>
      <c r="BI771" s="109"/>
      <c r="BJ771" s="109"/>
      <c r="BK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63"/>
      <c r="J772" s="109"/>
      <c r="K772" s="109"/>
      <c r="L772" s="109"/>
      <c r="M772" s="109"/>
      <c r="N772" s="109"/>
      <c r="O772" s="164"/>
      <c r="P772" s="165"/>
      <c r="Q772" s="165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  <c r="AO772" s="109"/>
      <c r="AP772" s="109"/>
      <c r="AQ772" s="109"/>
      <c r="AR772" s="109"/>
      <c r="AS772" s="109"/>
      <c r="AT772" s="109"/>
      <c r="AU772" s="109"/>
      <c r="AV772" s="109"/>
      <c r="AW772" s="109"/>
      <c r="AX772" s="109"/>
      <c r="AY772" s="109"/>
      <c r="AZ772" s="109"/>
      <c r="BA772" s="109"/>
      <c r="BB772" s="109"/>
      <c r="BC772" s="109"/>
      <c r="BD772" s="109"/>
      <c r="BE772" s="109"/>
      <c r="BF772" s="109"/>
      <c r="BG772" s="109"/>
      <c r="BH772" s="109"/>
      <c r="BI772" s="109"/>
      <c r="BJ772" s="109"/>
      <c r="BK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63"/>
      <c r="J773" s="109"/>
      <c r="K773" s="109"/>
      <c r="L773" s="109"/>
      <c r="M773" s="109"/>
      <c r="N773" s="109"/>
      <c r="O773" s="164"/>
      <c r="P773" s="165"/>
      <c r="Q773" s="165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  <c r="AO773" s="109"/>
      <c r="AP773" s="109"/>
      <c r="AQ773" s="109"/>
      <c r="AR773" s="109"/>
      <c r="AS773" s="109"/>
      <c r="AT773" s="109"/>
      <c r="AU773" s="109"/>
      <c r="AV773" s="109"/>
      <c r="AW773" s="109"/>
      <c r="AX773" s="109"/>
      <c r="AY773" s="109"/>
      <c r="AZ773" s="109"/>
      <c r="BA773" s="109"/>
      <c r="BB773" s="109"/>
      <c r="BC773" s="109"/>
      <c r="BD773" s="109"/>
      <c r="BE773" s="109"/>
      <c r="BF773" s="109"/>
      <c r="BG773" s="109"/>
      <c r="BH773" s="109"/>
      <c r="BI773" s="109"/>
      <c r="BJ773" s="109"/>
      <c r="BK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63"/>
      <c r="J774" s="109"/>
      <c r="K774" s="109"/>
      <c r="L774" s="109"/>
      <c r="M774" s="109"/>
      <c r="N774" s="109"/>
      <c r="O774" s="164"/>
      <c r="P774" s="165"/>
      <c r="Q774" s="165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  <c r="AO774" s="109"/>
      <c r="AP774" s="109"/>
      <c r="AQ774" s="109"/>
      <c r="AR774" s="109"/>
      <c r="AS774" s="109"/>
      <c r="AT774" s="109"/>
      <c r="AU774" s="109"/>
      <c r="AV774" s="109"/>
      <c r="AW774" s="109"/>
      <c r="AX774" s="109"/>
      <c r="AY774" s="109"/>
      <c r="AZ774" s="109"/>
      <c r="BA774" s="109"/>
      <c r="BB774" s="109"/>
      <c r="BC774" s="109"/>
      <c r="BD774" s="109"/>
      <c r="BE774" s="109"/>
      <c r="BF774" s="109"/>
      <c r="BG774" s="109"/>
      <c r="BH774" s="109"/>
      <c r="BI774" s="109"/>
      <c r="BJ774" s="109"/>
      <c r="BK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63"/>
      <c r="J775" s="109"/>
      <c r="K775" s="109"/>
      <c r="L775" s="109"/>
      <c r="M775" s="109"/>
      <c r="N775" s="109"/>
      <c r="O775" s="164"/>
      <c r="P775" s="165"/>
      <c r="Q775" s="165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  <c r="AO775" s="109"/>
      <c r="AP775" s="109"/>
      <c r="AQ775" s="109"/>
      <c r="AR775" s="109"/>
      <c r="AS775" s="109"/>
      <c r="AT775" s="109"/>
      <c r="AU775" s="109"/>
      <c r="AV775" s="109"/>
      <c r="AW775" s="109"/>
      <c r="AX775" s="109"/>
      <c r="AY775" s="109"/>
      <c r="AZ775" s="109"/>
      <c r="BA775" s="109"/>
      <c r="BB775" s="109"/>
      <c r="BC775" s="109"/>
      <c r="BD775" s="109"/>
      <c r="BE775" s="109"/>
      <c r="BF775" s="109"/>
      <c r="BG775" s="109"/>
      <c r="BH775" s="109"/>
      <c r="BI775" s="109"/>
      <c r="BJ775" s="109"/>
      <c r="BK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63"/>
      <c r="J776" s="109"/>
      <c r="K776" s="109"/>
      <c r="L776" s="109"/>
      <c r="M776" s="109"/>
      <c r="N776" s="109"/>
      <c r="O776" s="164"/>
      <c r="P776" s="165"/>
      <c r="Q776" s="165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  <c r="AO776" s="109"/>
      <c r="AP776" s="109"/>
      <c r="AQ776" s="109"/>
      <c r="AR776" s="109"/>
      <c r="AS776" s="109"/>
      <c r="AT776" s="109"/>
      <c r="AU776" s="109"/>
      <c r="AV776" s="109"/>
      <c r="AW776" s="109"/>
      <c r="AX776" s="109"/>
      <c r="AY776" s="109"/>
      <c r="AZ776" s="109"/>
      <c r="BA776" s="109"/>
      <c r="BB776" s="109"/>
      <c r="BC776" s="109"/>
      <c r="BD776" s="109"/>
      <c r="BE776" s="109"/>
      <c r="BF776" s="109"/>
      <c r="BG776" s="109"/>
      <c r="BH776" s="109"/>
      <c r="BI776" s="109"/>
      <c r="BJ776" s="109"/>
      <c r="BK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63"/>
      <c r="J777" s="109"/>
      <c r="K777" s="109"/>
      <c r="L777" s="109"/>
      <c r="M777" s="109"/>
      <c r="N777" s="109"/>
      <c r="O777" s="164"/>
      <c r="P777" s="165"/>
      <c r="Q777" s="165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  <c r="AO777" s="109"/>
      <c r="AP777" s="109"/>
      <c r="AQ777" s="109"/>
      <c r="AR777" s="109"/>
      <c r="AS777" s="109"/>
      <c r="AT777" s="109"/>
      <c r="AU777" s="109"/>
      <c r="AV777" s="109"/>
      <c r="AW777" s="109"/>
      <c r="AX777" s="109"/>
      <c r="AY777" s="109"/>
      <c r="AZ777" s="109"/>
      <c r="BA777" s="109"/>
      <c r="BB777" s="109"/>
      <c r="BC777" s="109"/>
      <c r="BD777" s="109"/>
      <c r="BE777" s="109"/>
      <c r="BF777" s="109"/>
      <c r="BG777" s="109"/>
      <c r="BH777" s="109"/>
      <c r="BI777" s="109"/>
      <c r="BJ777" s="109"/>
      <c r="BK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63"/>
      <c r="J778" s="109"/>
      <c r="K778" s="109"/>
      <c r="L778" s="109"/>
      <c r="M778" s="109"/>
      <c r="N778" s="109"/>
      <c r="O778" s="164"/>
      <c r="P778" s="165"/>
      <c r="Q778" s="165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  <c r="AO778" s="109"/>
      <c r="AP778" s="109"/>
      <c r="AQ778" s="109"/>
      <c r="AR778" s="109"/>
      <c r="AS778" s="109"/>
      <c r="AT778" s="109"/>
      <c r="AU778" s="109"/>
      <c r="AV778" s="109"/>
      <c r="AW778" s="109"/>
      <c r="AX778" s="109"/>
      <c r="AY778" s="109"/>
      <c r="AZ778" s="109"/>
      <c r="BA778" s="109"/>
      <c r="BB778" s="109"/>
      <c r="BC778" s="109"/>
      <c r="BD778" s="109"/>
      <c r="BE778" s="109"/>
      <c r="BF778" s="109"/>
      <c r="BG778" s="109"/>
      <c r="BH778" s="109"/>
      <c r="BI778" s="109"/>
      <c r="BJ778" s="109"/>
      <c r="BK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63"/>
      <c r="J779" s="109"/>
      <c r="K779" s="109"/>
      <c r="L779" s="109"/>
      <c r="M779" s="109"/>
      <c r="N779" s="109"/>
      <c r="O779" s="164"/>
      <c r="P779" s="165"/>
      <c r="Q779" s="165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  <c r="AO779" s="109"/>
      <c r="AP779" s="109"/>
      <c r="AQ779" s="109"/>
      <c r="AR779" s="109"/>
      <c r="AS779" s="109"/>
      <c r="AT779" s="109"/>
      <c r="AU779" s="109"/>
      <c r="AV779" s="109"/>
      <c r="AW779" s="109"/>
      <c r="AX779" s="109"/>
      <c r="AY779" s="109"/>
      <c r="AZ779" s="109"/>
      <c r="BA779" s="109"/>
      <c r="BB779" s="109"/>
      <c r="BC779" s="109"/>
      <c r="BD779" s="109"/>
      <c r="BE779" s="109"/>
      <c r="BF779" s="109"/>
      <c r="BG779" s="109"/>
      <c r="BH779" s="109"/>
      <c r="BI779" s="109"/>
      <c r="BJ779" s="109"/>
      <c r="BK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63"/>
      <c r="J780" s="109"/>
      <c r="K780" s="109"/>
      <c r="L780" s="109"/>
      <c r="M780" s="109"/>
      <c r="N780" s="109"/>
      <c r="O780" s="164"/>
      <c r="P780" s="165"/>
      <c r="Q780" s="165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  <c r="AO780" s="109"/>
      <c r="AP780" s="109"/>
      <c r="AQ780" s="109"/>
      <c r="AR780" s="109"/>
      <c r="AS780" s="109"/>
      <c r="AT780" s="109"/>
      <c r="AU780" s="109"/>
      <c r="AV780" s="109"/>
      <c r="AW780" s="109"/>
      <c r="AX780" s="109"/>
      <c r="AY780" s="109"/>
      <c r="AZ780" s="109"/>
      <c r="BA780" s="109"/>
      <c r="BB780" s="109"/>
      <c r="BC780" s="109"/>
      <c r="BD780" s="109"/>
      <c r="BE780" s="109"/>
      <c r="BF780" s="109"/>
      <c r="BG780" s="109"/>
      <c r="BH780" s="109"/>
      <c r="BI780" s="109"/>
      <c r="BJ780" s="109"/>
      <c r="BK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63"/>
      <c r="J781" s="109"/>
      <c r="K781" s="109"/>
      <c r="L781" s="109"/>
      <c r="M781" s="109"/>
      <c r="N781" s="109"/>
      <c r="O781" s="164"/>
      <c r="P781" s="165"/>
      <c r="Q781" s="165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  <c r="AO781" s="109"/>
      <c r="AP781" s="109"/>
      <c r="AQ781" s="109"/>
      <c r="AR781" s="109"/>
      <c r="AS781" s="109"/>
      <c r="AT781" s="109"/>
      <c r="AU781" s="109"/>
      <c r="AV781" s="109"/>
      <c r="AW781" s="109"/>
      <c r="AX781" s="109"/>
      <c r="AY781" s="109"/>
      <c r="AZ781" s="109"/>
      <c r="BA781" s="109"/>
      <c r="BB781" s="109"/>
      <c r="BC781" s="109"/>
      <c r="BD781" s="109"/>
      <c r="BE781" s="109"/>
      <c r="BF781" s="109"/>
      <c r="BG781" s="109"/>
      <c r="BH781" s="109"/>
      <c r="BI781" s="109"/>
      <c r="BJ781" s="109"/>
      <c r="BK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63"/>
      <c r="J782" s="109"/>
      <c r="K782" s="109"/>
      <c r="L782" s="109"/>
      <c r="M782" s="109"/>
      <c r="N782" s="109"/>
      <c r="O782" s="164"/>
      <c r="P782" s="165"/>
      <c r="Q782" s="165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  <c r="AO782" s="109"/>
      <c r="AP782" s="109"/>
      <c r="AQ782" s="109"/>
      <c r="AR782" s="109"/>
      <c r="AS782" s="109"/>
      <c r="AT782" s="109"/>
      <c r="AU782" s="109"/>
      <c r="AV782" s="109"/>
      <c r="AW782" s="109"/>
      <c r="AX782" s="109"/>
      <c r="AY782" s="109"/>
      <c r="AZ782" s="109"/>
      <c r="BA782" s="109"/>
      <c r="BB782" s="109"/>
      <c r="BC782" s="109"/>
      <c r="BD782" s="109"/>
      <c r="BE782" s="109"/>
      <c r="BF782" s="109"/>
      <c r="BG782" s="109"/>
      <c r="BH782" s="109"/>
      <c r="BI782" s="109"/>
      <c r="BJ782" s="109"/>
      <c r="BK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63"/>
      <c r="J783" s="109"/>
      <c r="K783" s="109"/>
      <c r="L783" s="109"/>
      <c r="M783" s="109"/>
      <c r="N783" s="109"/>
      <c r="O783" s="164"/>
      <c r="P783" s="165"/>
      <c r="Q783" s="165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  <c r="AO783" s="109"/>
      <c r="AP783" s="109"/>
      <c r="AQ783" s="109"/>
      <c r="AR783" s="109"/>
      <c r="AS783" s="109"/>
      <c r="AT783" s="109"/>
      <c r="AU783" s="109"/>
      <c r="AV783" s="109"/>
      <c r="AW783" s="109"/>
      <c r="AX783" s="109"/>
      <c r="AY783" s="109"/>
      <c r="AZ783" s="109"/>
      <c r="BA783" s="109"/>
      <c r="BB783" s="109"/>
      <c r="BC783" s="109"/>
      <c r="BD783" s="109"/>
      <c r="BE783" s="109"/>
      <c r="BF783" s="109"/>
      <c r="BG783" s="109"/>
      <c r="BH783" s="109"/>
      <c r="BI783" s="109"/>
      <c r="BJ783" s="109"/>
      <c r="BK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63"/>
      <c r="J784" s="109"/>
      <c r="K784" s="109"/>
      <c r="L784" s="109"/>
      <c r="M784" s="109"/>
      <c r="N784" s="109"/>
      <c r="O784" s="164"/>
      <c r="P784" s="165"/>
      <c r="Q784" s="165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  <c r="AO784" s="109"/>
      <c r="AP784" s="109"/>
      <c r="AQ784" s="109"/>
      <c r="AR784" s="109"/>
      <c r="AS784" s="109"/>
      <c r="AT784" s="109"/>
      <c r="AU784" s="109"/>
      <c r="AV784" s="109"/>
      <c r="AW784" s="109"/>
      <c r="AX784" s="109"/>
      <c r="AY784" s="109"/>
      <c r="AZ784" s="109"/>
      <c r="BA784" s="109"/>
      <c r="BB784" s="109"/>
      <c r="BC784" s="109"/>
      <c r="BD784" s="109"/>
      <c r="BE784" s="109"/>
      <c r="BF784" s="109"/>
      <c r="BG784" s="109"/>
      <c r="BH784" s="109"/>
      <c r="BI784" s="109"/>
      <c r="BJ784" s="109"/>
      <c r="BK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63"/>
      <c r="J785" s="109"/>
      <c r="K785" s="109"/>
      <c r="L785" s="109"/>
      <c r="M785" s="109"/>
      <c r="N785" s="109"/>
      <c r="O785" s="164"/>
      <c r="P785" s="165"/>
      <c r="Q785" s="165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  <c r="AO785" s="109"/>
      <c r="AP785" s="109"/>
      <c r="AQ785" s="109"/>
      <c r="AR785" s="109"/>
      <c r="AS785" s="109"/>
      <c r="AT785" s="109"/>
      <c r="AU785" s="109"/>
      <c r="AV785" s="109"/>
      <c r="AW785" s="109"/>
      <c r="AX785" s="109"/>
      <c r="AY785" s="109"/>
      <c r="AZ785" s="109"/>
      <c r="BA785" s="109"/>
      <c r="BB785" s="109"/>
      <c r="BC785" s="109"/>
      <c r="BD785" s="109"/>
      <c r="BE785" s="109"/>
      <c r="BF785" s="109"/>
      <c r="BG785" s="109"/>
      <c r="BH785" s="109"/>
      <c r="BI785" s="109"/>
      <c r="BJ785" s="109"/>
      <c r="BK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63"/>
      <c r="J786" s="109"/>
      <c r="K786" s="109"/>
      <c r="L786" s="109"/>
      <c r="M786" s="109"/>
      <c r="N786" s="109"/>
      <c r="O786" s="164"/>
      <c r="P786" s="165"/>
      <c r="Q786" s="165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  <c r="AO786" s="109"/>
      <c r="AP786" s="109"/>
      <c r="AQ786" s="109"/>
      <c r="AR786" s="109"/>
      <c r="AS786" s="109"/>
      <c r="AT786" s="109"/>
      <c r="AU786" s="109"/>
      <c r="AV786" s="109"/>
      <c r="AW786" s="109"/>
      <c r="AX786" s="109"/>
      <c r="AY786" s="109"/>
      <c r="AZ786" s="109"/>
      <c r="BA786" s="109"/>
      <c r="BB786" s="109"/>
      <c r="BC786" s="109"/>
      <c r="BD786" s="109"/>
      <c r="BE786" s="109"/>
      <c r="BF786" s="109"/>
      <c r="BG786" s="109"/>
      <c r="BH786" s="109"/>
      <c r="BI786" s="109"/>
      <c r="BJ786" s="109"/>
      <c r="BK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63"/>
      <c r="J787" s="109"/>
      <c r="K787" s="109"/>
      <c r="L787" s="109"/>
      <c r="M787" s="109"/>
      <c r="N787" s="109"/>
      <c r="O787" s="164"/>
      <c r="P787" s="165"/>
      <c r="Q787" s="165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  <c r="AO787" s="109"/>
      <c r="AP787" s="109"/>
      <c r="AQ787" s="109"/>
      <c r="AR787" s="109"/>
      <c r="AS787" s="109"/>
      <c r="AT787" s="109"/>
      <c r="AU787" s="109"/>
      <c r="AV787" s="109"/>
      <c r="AW787" s="109"/>
      <c r="AX787" s="109"/>
      <c r="AY787" s="109"/>
      <c r="AZ787" s="109"/>
      <c r="BA787" s="109"/>
      <c r="BB787" s="109"/>
      <c r="BC787" s="109"/>
      <c r="BD787" s="109"/>
      <c r="BE787" s="109"/>
      <c r="BF787" s="109"/>
      <c r="BG787" s="109"/>
      <c r="BH787" s="109"/>
      <c r="BI787" s="109"/>
      <c r="BJ787" s="109"/>
      <c r="BK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63"/>
      <c r="J788" s="109"/>
      <c r="K788" s="109"/>
      <c r="L788" s="109"/>
      <c r="M788" s="109"/>
      <c r="N788" s="109"/>
      <c r="O788" s="164"/>
      <c r="P788" s="165"/>
      <c r="Q788" s="165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  <c r="AO788" s="109"/>
      <c r="AP788" s="109"/>
      <c r="AQ788" s="109"/>
      <c r="AR788" s="109"/>
      <c r="AS788" s="109"/>
      <c r="AT788" s="109"/>
      <c r="AU788" s="109"/>
      <c r="AV788" s="109"/>
      <c r="AW788" s="109"/>
      <c r="AX788" s="109"/>
      <c r="AY788" s="109"/>
      <c r="AZ788" s="109"/>
      <c r="BA788" s="109"/>
      <c r="BB788" s="109"/>
      <c r="BC788" s="109"/>
      <c r="BD788" s="109"/>
      <c r="BE788" s="109"/>
      <c r="BF788" s="109"/>
      <c r="BG788" s="109"/>
      <c r="BH788" s="109"/>
      <c r="BI788" s="109"/>
      <c r="BJ788" s="109"/>
      <c r="BK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63"/>
      <c r="J789" s="109"/>
      <c r="K789" s="109"/>
      <c r="L789" s="109"/>
      <c r="M789" s="109"/>
      <c r="N789" s="109"/>
      <c r="O789" s="164"/>
      <c r="P789" s="165"/>
      <c r="Q789" s="165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  <c r="AO789" s="109"/>
      <c r="AP789" s="109"/>
      <c r="AQ789" s="109"/>
      <c r="AR789" s="109"/>
      <c r="AS789" s="109"/>
      <c r="AT789" s="109"/>
      <c r="AU789" s="109"/>
      <c r="AV789" s="109"/>
      <c r="AW789" s="109"/>
      <c r="AX789" s="109"/>
      <c r="AY789" s="109"/>
      <c r="AZ789" s="109"/>
      <c r="BA789" s="109"/>
      <c r="BB789" s="109"/>
      <c r="BC789" s="109"/>
      <c r="BD789" s="109"/>
      <c r="BE789" s="109"/>
      <c r="BF789" s="109"/>
      <c r="BG789" s="109"/>
      <c r="BH789" s="109"/>
      <c r="BI789" s="109"/>
      <c r="BJ789" s="109"/>
      <c r="BK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63"/>
      <c r="J790" s="109"/>
      <c r="K790" s="109"/>
      <c r="L790" s="109"/>
      <c r="M790" s="109"/>
      <c r="N790" s="109"/>
      <c r="O790" s="164"/>
      <c r="P790" s="165"/>
      <c r="Q790" s="165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  <c r="AO790" s="109"/>
      <c r="AP790" s="109"/>
      <c r="AQ790" s="109"/>
      <c r="AR790" s="109"/>
      <c r="AS790" s="109"/>
      <c r="AT790" s="109"/>
      <c r="AU790" s="109"/>
      <c r="AV790" s="109"/>
      <c r="AW790" s="109"/>
      <c r="AX790" s="109"/>
      <c r="AY790" s="109"/>
      <c r="AZ790" s="109"/>
      <c r="BA790" s="109"/>
      <c r="BB790" s="109"/>
      <c r="BC790" s="109"/>
      <c r="BD790" s="109"/>
      <c r="BE790" s="109"/>
      <c r="BF790" s="109"/>
      <c r="BG790" s="109"/>
      <c r="BH790" s="109"/>
      <c r="BI790" s="109"/>
      <c r="BJ790" s="109"/>
      <c r="BK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63"/>
      <c r="J791" s="109"/>
      <c r="K791" s="109"/>
      <c r="L791" s="109"/>
      <c r="M791" s="109"/>
      <c r="N791" s="109"/>
      <c r="O791" s="164"/>
      <c r="P791" s="165"/>
      <c r="Q791" s="165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  <c r="AO791" s="109"/>
      <c r="AP791" s="109"/>
      <c r="AQ791" s="109"/>
      <c r="AR791" s="109"/>
      <c r="AS791" s="109"/>
      <c r="AT791" s="109"/>
      <c r="AU791" s="109"/>
      <c r="AV791" s="109"/>
      <c r="AW791" s="109"/>
      <c r="AX791" s="109"/>
      <c r="AY791" s="109"/>
      <c r="AZ791" s="109"/>
      <c r="BA791" s="109"/>
      <c r="BB791" s="109"/>
      <c r="BC791" s="109"/>
      <c r="BD791" s="109"/>
      <c r="BE791" s="109"/>
      <c r="BF791" s="109"/>
      <c r="BG791" s="109"/>
      <c r="BH791" s="109"/>
      <c r="BI791" s="109"/>
      <c r="BJ791" s="109"/>
      <c r="BK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63"/>
      <c r="J792" s="109"/>
      <c r="K792" s="109"/>
      <c r="L792" s="109"/>
      <c r="M792" s="109"/>
      <c r="N792" s="109"/>
      <c r="O792" s="164"/>
      <c r="P792" s="165"/>
      <c r="Q792" s="165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  <c r="AO792" s="109"/>
      <c r="AP792" s="109"/>
      <c r="AQ792" s="109"/>
      <c r="AR792" s="109"/>
      <c r="AS792" s="109"/>
      <c r="AT792" s="109"/>
      <c r="AU792" s="109"/>
      <c r="AV792" s="109"/>
      <c r="AW792" s="109"/>
      <c r="AX792" s="109"/>
      <c r="AY792" s="109"/>
      <c r="AZ792" s="109"/>
      <c r="BA792" s="109"/>
      <c r="BB792" s="109"/>
      <c r="BC792" s="109"/>
      <c r="BD792" s="109"/>
      <c r="BE792" s="109"/>
      <c r="BF792" s="109"/>
      <c r="BG792" s="109"/>
      <c r="BH792" s="109"/>
      <c r="BI792" s="109"/>
      <c r="BJ792" s="109"/>
      <c r="BK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63"/>
      <c r="J793" s="109"/>
      <c r="K793" s="109"/>
      <c r="L793" s="109"/>
      <c r="M793" s="109"/>
      <c r="N793" s="109"/>
      <c r="O793" s="164"/>
      <c r="P793" s="165"/>
      <c r="Q793" s="165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  <c r="AO793" s="109"/>
      <c r="AP793" s="109"/>
      <c r="AQ793" s="109"/>
      <c r="AR793" s="109"/>
      <c r="AS793" s="109"/>
      <c r="AT793" s="109"/>
      <c r="AU793" s="109"/>
      <c r="AV793" s="109"/>
      <c r="AW793" s="109"/>
      <c r="AX793" s="109"/>
      <c r="AY793" s="109"/>
      <c r="AZ793" s="109"/>
      <c r="BA793" s="109"/>
      <c r="BB793" s="109"/>
      <c r="BC793" s="109"/>
      <c r="BD793" s="109"/>
      <c r="BE793" s="109"/>
      <c r="BF793" s="109"/>
      <c r="BG793" s="109"/>
      <c r="BH793" s="109"/>
      <c r="BI793" s="109"/>
      <c r="BJ793" s="109"/>
      <c r="BK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63"/>
      <c r="J794" s="109"/>
      <c r="K794" s="109"/>
      <c r="L794" s="109"/>
      <c r="M794" s="109"/>
      <c r="N794" s="109"/>
      <c r="O794" s="164"/>
      <c r="P794" s="165"/>
      <c r="Q794" s="165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  <c r="AO794" s="109"/>
      <c r="AP794" s="109"/>
      <c r="AQ794" s="109"/>
      <c r="AR794" s="109"/>
      <c r="AS794" s="109"/>
      <c r="AT794" s="109"/>
      <c r="AU794" s="109"/>
      <c r="AV794" s="109"/>
      <c r="AW794" s="109"/>
      <c r="AX794" s="109"/>
      <c r="AY794" s="109"/>
      <c r="AZ794" s="109"/>
      <c r="BA794" s="109"/>
      <c r="BB794" s="109"/>
      <c r="BC794" s="109"/>
      <c r="BD794" s="109"/>
      <c r="BE794" s="109"/>
      <c r="BF794" s="109"/>
      <c r="BG794" s="109"/>
      <c r="BH794" s="109"/>
      <c r="BI794" s="109"/>
      <c r="BJ794" s="109"/>
      <c r="BK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63"/>
      <c r="J795" s="109"/>
      <c r="K795" s="109"/>
      <c r="L795" s="109"/>
      <c r="M795" s="109"/>
      <c r="N795" s="109"/>
      <c r="O795" s="164"/>
      <c r="P795" s="165"/>
      <c r="Q795" s="165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  <c r="AO795" s="109"/>
      <c r="AP795" s="109"/>
      <c r="AQ795" s="109"/>
      <c r="AR795" s="109"/>
      <c r="AS795" s="109"/>
      <c r="AT795" s="109"/>
      <c r="AU795" s="109"/>
      <c r="AV795" s="109"/>
      <c r="AW795" s="109"/>
      <c r="AX795" s="109"/>
      <c r="AY795" s="109"/>
      <c r="AZ795" s="109"/>
      <c r="BA795" s="109"/>
      <c r="BB795" s="109"/>
      <c r="BC795" s="109"/>
      <c r="BD795" s="109"/>
      <c r="BE795" s="109"/>
      <c r="BF795" s="109"/>
      <c r="BG795" s="109"/>
      <c r="BH795" s="109"/>
      <c r="BI795" s="109"/>
      <c r="BJ795" s="109"/>
      <c r="BK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63"/>
      <c r="J796" s="109"/>
      <c r="K796" s="109"/>
      <c r="L796" s="109"/>
      <c r="M796" s="109"/>
      <c r="N796" s="109"/>
      <c r="O796" s="164"/>
      <c r="P796" s="165"/>
      <c r="Q796" s="165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  <c r="AO796" s="109"/>
      <c r="AP796" s="109"/>
      <c r="AQ796" s="109"/>
      <c r="AR796" s="109"/>
      <c r="AS796" s="109"/>
      <c r="AT796" s="109"/>
      <c r="AU796" s="109"/>
      <c r="AV796" s="109"/>
      <c r="AW796" s="109"/>
      <c r="AX796" s="109"/>
      <c r="AY796" s="109"/>
      <c r="AZ796" s="109"/>
      <c r="BA796" s="109"/>
      <c r="BB796" s="109"/>
      <c r="BC796" s="109"/>
      <c r="BD796" s="109"/>
      <c r="BE796" s="109"/>
      <c r="BF796" s="109"/>
      <c r="BG796" s="109"/>
      <c r="BH796" s="109"/>
      <c r="BI796" s="109"/>
      <c r="BJ796" s="109"/>
      <c r="BK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63"/>
      <c r="J797" s="109"/>
      <c r="K797" s="109"/>
      <c r="L797" s="109"/>
      <c r="M797" s="109"/>
      <c r="N797" s="109"/>
      <c r="O797" s="164"/>
      <c r="P797" s="165"/>
      <c r="Q797" s="165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  <c r="AO797" s="109"/>
      <c r="AP797" s="109"/>
      <c r="AQ797" s="109"/>
      <c r="AR797" s="109"/>
      <c r="AS797" s="109"/>
      <c r="AT797" s="109"/>
      <c r="AU797" s="109"/>
      <c r="AV797" s="109"/>
      <c r="AW797" s="109"/>
      <c r="AX797" s="109"/>
      <c r="AY797" s="109"/>
      <c r="AZ797" s="109"/>
      <c r="BA797" s="109"/>
      <c r="BB797" s="109"/>
      <c r="BC797" s="109"/>
      <c r="BD797" s="109"/>
      <c r="BE797" s="109"/>
      <c r="BF797" s="109"/>
      <c r="BG797" s="109"/>
      <c r="BH797" s="109"/>
      <c r="BI797" s="109"/>
      <c r="BJ797" s="109"/>
      <c r="BK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63"/>
      <c r="J798" s="109"/>
      <c r="K798" s="109"/>
      <c r="L798" s="109"/>
      <c r="M798" s="109"/>
      <c r="N798" s="109"/>
      <c r="O798" s="164"/>
      <c r="P798" s="165"/>
      <c r="Q798" s="165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  <c r="AO798" s="109"/>
      <c r="AP798" s="109"/>
      <c r="AQ798" s="109"/>
      <c r="AR798" s="109"/>
      <c r="AS798" s="109"/>
      <c r="AT798" s="109"/>
      <c r="AU798" s="109"/>
      <c r="AV798" s="109"/>
      <c r="AW798" s="109"/>
      <c r="AX798" s="109"/>
      <c r="AY798" s="109"/>
      <c r="AZ798" s="109"/>
      <c r="BA798" s="109"/>
      <c r="BB798" s="109"/>
      <c r="BC798" s="109"/>
      <c r="BD798" s="109"/>
      <c r="BE798" s="109"/>
      <c r="BF798" s="109"/>
      <c r="BG798" s="109"/>
      <c r="BH798" s="109"/>
      <c r="BI798" s="109"/>
      <c r="BJ798" s="109"/>
      <c r="BK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63"/>
      <c r="J799" s="109"/>
      <c r="K799" s="109"/>
      <c r="L799" s="109"/>
      <c r="M799" s="109"/>
      <c r="N799" s="109"/>
      <c r="O799" s="164"/>
      <c r="P799" s="165"/>
      <c r="Q799" s="165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  <c r="AO799" s="109"/>
      <c r="AP799" s="109"/>
      <c r="AQ799" s="109"/>
      <c r="AR799" s="109"/>
      <c r="AS799" s="109"/>
      <c r="AT799" s="109"/>
      <c r="AU799" s="109"/>
      <c r="AV799" s="109"/>
      <c r="AW799" s="109"/>
      <c r="AX799" s="109"/>
      <c r="AY799" s="109"/>
      <c r="AZ799" s="109"/>
      <c r="BA799" s="109"/>
      <c r="BB799" s="109"/>
      <c r="BC799" s="109"/>
      <c r="BD799" s="109"/>
      <c r="BE799" s="109"/>
      <c r="BF799" s="109"/>
      <c r="BG799" s="109"/>
      <c r="BH799" s="109"/>
      <c r="BI799" s="109"/>
      <c r="BJ799" s="109"/>
      <c r="BK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63"/>
      <c r="J800" s="109"/>
      <c r="K800" s="109"/>
      <c r="L800" s="109"/>
      <c r="M800" s="109"/>
      <c r="N800" s="109"/>
      <c r="O800" s="164"/>
      <c r="P800" s="165"/>
      <c r="Q800" s="165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  <c r="AO800" s="109"/>
      <c r="AP800" s="109"/>
      <c r="AQ800" s="109"/>
      <c r="AR800" s="109"/>
      <c r="AS800" s="109"/>
      <c r="AT800" s="109"/>
      <c r="AU800" s="109"/>
      <c r="AV800" s="109"/>
      <c r="AW800" s="109"/>
      <c r="AX800" s="109"/>
      <c r="AY800" s="109"/>
      <c r="AZ800" s="109"/>
      <c r="BA800" s="109"/>
      <c r="BB800" s="109"/>
      <c r="BC800" s="109"/>
      <c r="BD800" s="109"/>
      <c r="BE800" s="109"/>
      <c r="BF800" s="109"/>
      <c r="BG800" s="109"/>
      <c r="BH800" s="109"/>
      <c r="BI800" s="109"/>
      <c r="BJ800" s="109"/>
      <c r="BK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63"/>
      <c r="J801" s="109"/>
      <c r="K801" s="109"/>
      <c r="L801" s="109"/>
      <c r="M801" s="109"/>
      <c r="N801" s="109"/>
      <c r="O801" s="164"/>
      <c r="P801" s="165"/>
      <c r="Q801" s="165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  <c r="AO801" s="109"/>
      <c r="AP801" s="109"/>
      <c r="AQ801" s="109"/>
      <c r="AR801" s="109"/>
      <c r="AS801" s="109"/>
      <c r="AT801" s="109"/>
      <c r="AU801" s="109"/>
      <c r="AV801" s="109"/>
      <c r="AW801" s="109"/>
      <c r="AX801" s="109"/>
      <c r="AY801" s="109"/>
      <c r="AZ801" s="109"/>
      <c r="BA801" s="109"/>
      <c r="BB801" s="109"/>
      <c r="BC801" s="109"/>
      <c r="BD801" s="109"/>
      <c r="BE801" s="109"/>
      <c r="BF801" s="109"/>
      <c r="BG801" s="109"/>
      <c r="BH801" s="109"/>
      <c r="BI801" s="109"/>
      <c r="BJ801" s="109"/>
      <c r="BK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63"/>
      <c r="J802" s="109"/>
      <c r="K802" s="109"/>
      <c r="L802" s="109"/>
      <c r="M802" s="109"/>
      <c r="N802" s="109"/>
      <c r="O802" s="164"/>
      <c r="P802" s="165"/>
      <c r="Q802" s="165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  <c r="AO802" s="109"/>
      <c r="AP802" s="109"/>
      <c r="AQ802" s="109"/>
      <c r="AR802" s="109"/>
      <c r="AS802" s="109"/>
      <c r="AT802" s="109"/>
      <c r="AU802" s="109"/>
      <c r="AV802" s="109"/>
      <c r="AW802" s="109"/>
      <c r="AX802" s="109"/>
      <c r="AY802" s="109"/>
      <c r="AZ802" s="109"/>
      <c r="BA802" s="109"/>
      <c r="BB802" s="109"/>
      <c r="BC802" s="109"/>
      <c r="BD802" s="109"/>
      <c r="BE802" s="109"/>
      <c r="BF802" s="109"/>
      <c r="BG802" s="109"/>
      <c r="BH802" s="109"/>
      <c r="BI802" s="109"/>
      <c r="BJ802" s="109"/>
      <c r="BK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63"/>
      <c r="J803" s="109"/>
      <c r="K803" s="109"/>
      <c r="L803" s="109"/>
      <c r="M803" s="109"/>
      <c r="N803" s="109"/>
      <c r="O803" s="164"/>
      <c r="P803" s="165"/>
      <c r="Q803" s="165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  <c r="AO803" s="109"/>
      <c r="AP803" s="109"/>
      <c r="AQ803" s="109"/>
      <c r="AR803" s="109"/>
      <c r="AS803" s="109"/>
      <c r="AT803" s="109"/>
      <c r="AU803" s="109"/>
      <c r="AV803" s="109"/>
      <c r="AW803" s="109"/>
      <c r="AX803" s="109"/>
      <c r="AY803" s="109"/>
      <c r="AZ803" s="109"/>
      <c r="BA803" s="109"/>
      <c r="BB803" s="109"/>
      <c r="BC803" s="109"/>
      <c r="BD803" s="109"/>
      <c r="BE803" s="109"/>
      <c r="BF803" s="109"/>
      <c r="BG803" s="109"/>
      <c r="BH803" s="109"/>
      <c r="BI803" s="109"/>
      <c r="BJ803" s="109"/>
      <c r="BK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63"/>
      <c r="J804" s="109"/>
      <c r="K804" s="109"/>
      <c r="L804" s="109"/>
      <c r="M804" s="109"/>
      <c r="N804" s="109"/>
      <c r="O804" s="164"/>
      <c r="P804" s="165"/>
      <c r="Q804" s="165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  <c r="AO804" s="109"/>
      <c r="AP804" s="109"/>
      <c r="AQ804" s="109"/>
      <c r="AR804" s="109"/>
      <c r="AS804" s="109"/>
      <c r="AT804" s="109"/>
      <c r="AU804" s="109"/>
      <c r="AV804" s="109"/>
      <c r="AW804" s="109"/>
      <c r="AX804" s="109"/>
      <c r="AY804" s="109"/>
      <c r="AZ804" s="109"/>
      <c r="BA804" s="109"/>
      <c r="BB804" s="109"/>
      <c r="BC804" s="109"/>
      <c r="BD804" s="109"/>
      <c r="BE804" s="109"/>
      <c r="BF804" s="109"/>
      <c r="BG804" s="109"/>
      <c r="BH804" s="109"/>
      <c r="BI804" s="109"/>
      <c r="BJ804" s="109"/>
      <c r="BK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63"/>
      <c r="J805" s="109"/>
      <c r="K805" s="109"/>
      <c r="L805" s="109"/>
      <c r="M805" s="109"/>
      <c r="N805" s="109"/>
      <c r="O805" s="164"/>
      <c r="P805" s="165"/>
      <c r="Q805" s="165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  <c r="AO805" s="109"/>
      <c r="AP805" s="109"/>
      <c r="AQ805" s="109"/>
      <c r="AR805" s="109"/>
      <c r="AS805" s="109"/>
      <c r="AT805" s="109"/>
      <c r="AU805" s="109"/>
      <c r="AV805" s="109"/>
      <c r="AW805" s="109"/>
      <c r="AX805" s="109"/>
      <c r="AY805" s="109"/>
      <c r="AZ805" s="109"/>
      <c r="BA805" s="109"/>
      <c r="BB805" s="109"/>
      <c r="BC805" s="109"/>
      <c r="BD805" s="109"/>
      <c r="BE805" s="109"/>
      <c r="BF805" s="109"/>
      <c r="BG805" s="109"/>
      <c r="BH805" s="109"/>
      <c r="BI805" s="109"/>
      <c r="BJ805" s="109"/>
      <c r="BK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63"/>
      <c r="J806" s="109"/>
      <c r="K806" s="109"/>
      <c r="L806" s="109"/>
      <c r="M806" s="109"/>
      <c r="N806" s="109"/>
      <c r="O806" s="164"/>
      <c r="P806" s="165"/>
      <c r="Q806" s="165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  <c r="AO806" s="109"/>
      <c r="AP806" s="109"/>
      <c r="AQ806" s="109"/>
      <c r="AR806" s="109"/>
      <c r="AS806" s="109"/>
      <c r="AT806" s="109"/>
      <c r="AU806" s="109"/>
      <c r="AV806" s="109"/>
      <c r="AW806" s="109"/>
      <c r="AX806" s="109"/>
      <c r="AY806" s="109"/>
      <c r="AZ806" s="109"/>
      <c r="BA806" s="109"/>
      <c r="BB806" s="109"/>
      <c r="BC806" s="109"/>
      <c r="BD806" s="109"/>
      <c r="BE806" s="109"/>
      <c r="BF806" s="109"/>
      <c r="BG806" s="109"/>
      <c r="BH806" s="109"/>
      <c r="BI806" s="109"/>
      <c r="BJ806" s="109"/>
      <c r="BK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63"/>
      <c r="J807" s="109"/>
      <c r="K807" s="109"/>
      <c r="L807" s="109"/>
      <c r="M807" s="109"/>
      <c r="N807" s="109"/>
      <c r="O807" s="164"/>
      <c r="P807" s="165"/>
      <c r="Q807" s="165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  <c r="AO807" s="109"/>
      <c r="AP807" s="109"/>
      <c r="AQ807" s="109"/>
      <c r="AR807" s="109"/>
      <c r="AS807" s="109"/>
      <c r="AT807" s="109"/>
      <c r="AU807" s="109"/>
      <c r="AV807" s="109"/>
      <c r="AW807" s="109"/>
      <c r="AX807" s="109"/>
      <c r="AY807" s="109"/>
      <c r="AZ807" s="109"/>
      <c r="BA807" s="109"/>
      <c r="BB807" s="109"/>
      <c r="BC807" s="109"/>
      <c r="BD807" s="109"/>
      <c r="BE807" s="109"/>
      <c r="BF807" s="109"/>
      <c r="BG807" s="109"/>
      <c r="BH807" s="109"/>
      <c r="BI807" s="109"/>
      <c r="BJ807" s="109"/>
      <c r="BK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63"/>
      <c r="J808" s="109"/>
      <c r="K808" s="109"/>
      <c r="L808" s="109"/>
      <c r="M808" s="109"/>
      <c r="N808" s="109"/>
      <c r="O808" s="164"/>
      <c r="P808" s="165"/>
      <c r="Q808" s="165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  <c r="AO808" s="109"/>
      <c r="AP808" s="109"/>
      <c r="AQ808" s="109"/>
      <c r="AR808" s="109"/>
      <c r="AS808" s="109"/>
      <c r="AT808" s="109"/>
      <c r="AU808" s="109"/>
      <c r="AV808" s="109"/>
      <c r="AW808" s="109"/>
      <c r="AX808" s="109"/>
      <c r="AY808" s="109"/>
      <c r="AZ808" s="109"/>
      <c r="BA808" s="109"/>
      <c r="BB808" s="109"/>
      <c r="BC808" s="109"/>
      <c r="BD808" s="109"/>
      <c r="BE808" s="109"/>
      <c r="BF808" s="109"/>
      <c r="BG808" s="109"/>
      <c r="BH808" s="109"/>
      <c r="BI808" s="109"/>
      <c r="BJ808" s="109"/>
      <c r="BK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63"/>
      <c r="J809" s="109"/>
      <c r="K809" s="109"/>
      <c r="L809" s="109"/>
      <c r="M809" s="109"/>
      <c r="N809" s="109"/>
      <c r="O809" s="164"/>
      <c r="P809" s="165"/>
      <c r="Q809" s="165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  <c r="AO809" s="109"/>
      <c r="AP809" s="109"/>
      <c r="AQ809" s="109"/>
      <c r="AR809" s="109"/>
      <c r="AS809" s="109"/>
      <c r="AT809" s="109"/>
      <c r="AU809" s="109"/>
      <c r="AV809" s="109"/>
      <c r="AW809" s="109"/>
      <c r="AX809" s="109"/>
      <c r="AY809" s="109"/>
      <c r="AZ809" s="109"/>
      <c r="BA809" s="109"/>
      <c r="BB809" s="109"/>
      <c r="BC809" s="109"/>
      <c r="BD809" s="109"/>
      <c r="BE809" s="109"/>
      <c r="BF809" s="109"/>
      <c r="BG809" s="109"/>
      <c r="BH809" s="109"/>
      <c r="BI809" s="109"/>
      <c r="BJ809" s="109"/>
      <c r="BK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63"/>
      <c r="J810" s="109"/>
      <c r="K810" s="109"/>
      <c r="L810" s="109"/>
      <c r="M810" s="109"/>
      <c r="N810" s="109"/>
      <c r="O810" s="164"/>
      <c r="P810" s="165"/>
      <c r="Q810" s="165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  <c r="AO810" s="109"/>
      <c r="AP810" s="109"/>
      <c r="AQ810" s="109"/>
      <c r="AR810" s="109"/>
      <c r="AS810" s="109"/>
      <c r="AT810" s="109"/>
      <c r="AU810" s="109"/>
      <c r="AV810" s="109"/>
      <c r="AW810" s="109"/>
      <c r="AX810" s="109"/>
      <c r="AY810" s="109"/>
      <c r="AZ810" s="109"/>
      <c r="BA810" s="109"/>
      <c r="BB810" s="109"/>
      <c r="BC810" s="109"/>
      <c r="BD810" s="109"/>
      <c r="BE810" s="109"/>
      <c r="BF810" s="109"/>
      <c r="BG810" s="109"/>
      <c r="BH810" s="109"/>
      <c r="BI810" s="109"/>
      <c r="BJ810" s="109"/>
      <c r="BK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63"/>
      <c r="J811" s="109"/>
      <c r="K811" s="109"/>
      <c r="L811" s="109"/>
      <c r="M811" s="109"/>
      <c r="N811" s="109"/>
      <c r="O811" s="164"/>
      <c r="P811" s="165"/>
      <c r="Q811" s="165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  <c r="AO811" s="109"/>
      <c r="AP811" s="109"/>
      <c r="AQ811" s="109"/>
      <c r="AR811" s="109"/>
      <c r="AS811" s="109"/>
      <c r="AT811" s="109"/>
      <c r="AU811" s="109"/>
      <c r="AV811" s="109"/>
      <c r="AW811" s="109"/>
      <c r="AX811" s="109"/>
      <c r="AY811" s="109"/>
      <c r="AZ811" s="109"/>
      <c r="BA811" s="109"/>
      <c r="BB811" s="109"/>
      <c r="BC811" s="109"/>
      <c r="BD811" s="109"/>
      <c r="BE811" s="109"/>
      <c r="BF811" s="109"/>
      <c r="BG811" s="109"/>
      <c r="BH811" s="109"/>
      <c r="BI811" s="109"/>
      <c r="BJ811" s="109"/>
      <c r="BK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63"/>
      <c r="J812" s="109"/>
      <c r="K812" s="109"/>
      <c r="L812" s="109"/>
      <c r="M812" s="109"/>
      <c r="N812" s="109"/>
      <c r="O812" s="164"/>
      <c r="P812" s="165"/>
      <c r="Q812" s="165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  <c r="AO812" s="109"/>
      <c r="AP812" s="109"/>
      <c r="AQ812" s="109"/>
      <c r="AR812" s="109"/>
      <c r="AS812" s="109"/>
      <c r="AT812" s="109"/>
      <c r="AU812" s="109"/>
      <c r="AV812" s="109"/>
      <c r="AW812" s="109"/>
      <c r="AX812" s="109"/>
      <c r="AY812" s="109"/>
      <c r="AZ812" s="109"/>
      <c r="BA812" s="109"/>
      <c r="BB812" s="109"/>
      <c r="BC812" s="109"/>
      <c r="BD812" s="109"/>
      <c r="BE812" s="109"/>
      <c r="BF812" s="109"/>
      <c r="BG812" s="109"/>
      <c r="BH812" s="109"/>
      <c r="BI812" s="109"/>
      <c r="BJ812" s="109"/>
      <c r="BK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63"/>
      <c r="J813" s="109"/>
      <c r="K813" s="109"/>
      <c r="L813" s="109"/>
      <c r="M813" s="109"/>
      <c r="N813" s="109"/>
      <c r="O813" s="164"/>
      <c r="P813" s="165"/>
      <c r="Q813" s="165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  <c r="AO813" s="109"/>
      <c r="AP813" s="109"/>
      <c r="AQ813" s="109"/>
      <c r="AR813" s="109"/>
      <c r="AS813" s="109"/>
      <c r="AT813" s="109"/>
      <c r="AU813" s="109"/>
      <c r="AV813" s="109"/>
      <c r="AW813" s="109"/>
      <c r="AX813" s="109"/>
      <c r="AY813" s="109"/>
      <c r="AZ813" s="109"/>
      <c r="BA813" s="109"/>
      <c r="BB813" s="109"/>
      <c r="BC813" s="109"/>
      <c r="BD813" s="109"/>
      <c r="BE813" s="109"/>
      <c r="BF813" s="109"/>
      <c r="BG813" s="109"/>
      <c r="BH813" s="109"/>
      <c r="BI813" s="109"/>
      <c r="BJ813" s="109"/>
      <c r="BK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63"/>
      <c r="J814" s="109"/>
      <c r="K814" s="109"/>
      <c r="L814" s="109"/>
      <c r="M814" s="109"/>
      <c r="N814" s="109"/>
      <c r="O814" s="164"/>
      <c r="P814" s="165"/>
      <c r="Q814" s="165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  <c r="AO814" s="109"/>
      <c r="AP814" s="109"/>
      <c r="AQ814" s="109"/>
      <c r="AR814" s="109"/>
      <c r="AS814" s="109"/>
      <c r="AT814" s="109"/>
      <c r="AU814" s="109"/>
      <c r="AV814" s="109"/>
      <c r="AW814" s="109"/>
      <c r="AX814" s="109"/>
      <c r="AY814" s="109"/>
      <c r="AZ814" s="109"/>
      <c r="BA814" s="109"/>
      <c r="BB814" s="109"/>
      <c r="BC814" s="109"/>
      <c r="BD814" s="109"/>
      <c r="BE814" s="109"/>
      <c r="BF814" s="109"/>
      <c r="BG814" s="109"/>
      <c r="BH814" s="109"/>
      <c r="BI814" s="109"/>
      <c r="BJ814" s="109"/>
      <c r="BK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63"/>
      <c r="J815" s="109"/>
      <c r="K815" s="109"/>
      <c r="L815" s="109"/>
      <c r="M815" s="109"/>
      <c r="N815" s="109"/>
      <c r="O815" s="164"/>
      <c r="P815" s="165"/>
      <c r="Q815" s="165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  <c r="AO815" s="109"/>
      <c r="AP815" s="109"/>
      <c r="AQ815" s="109"/>
      <c r="AR815" s="109"/>
      <c r="AS815" s="109"/>
      <c r="AT815" s="109"/>
      <c r="AU815" s="109"/>
      <c r="AV815" s="109"/>
      <c r="AW815" s="109"/>
      <c r="AX815" s="109"/>
      <c r="AY815" s="109"/>
      <c r="AZ815" s="109"/>
      <c r="BA815" s="109"/>
      <c r="BB815" s="109"/>
      <c r="BC815" s="109"/>
      <c r="BD815" s="109"/>
      <c r="BE815" s="109"/>
      <c r="BF815" s="109"/>
      <c r="BG815" s="109"/>
      <c r="BH815" s="109"/>
      <c r="BI815" s="109"/>
      <c r="BJ815" s="109"/>
      <c r="BK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63"/>
      <c r="J816" s="109"/>
      <c r="K816" s="109"/>
      <c r="L816" s="109"/>
      <c r="M816" s="109"/>
      <c r="N816" s="109"/>
      <c r="O816" s="164"/>
      <c r="P816" s="165"/>
      <c r="Q816" s="165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  <c r="AO816" s="109"/>
      <c r="AP816" s="109"/>
      <c r="AQ816" s="109"/>
      <c r="AR816" s="109"/>
      <c r="AS816" s="109"/>
      <c r="AT816" s="109"/>
      <c r="AU816" s="109"/>
      <c r="AV816" s="109"/>
      <c r="AW816" s="109"/>
      <c r="AX816" s="109"/>
      <c r="AY816" s="109"/>
      <c r="AZ816" s="109"/>
      <c r="BA816" s="109"/>
      <c r="BB816" s="109"/>
      <c r="BC816" s="109"/>
      <c r="BD816" s="109"/>
      <c r="BE816" s="109"/>
      <c r="BF816" s="109"/>
      <c r="BG816" s="109"/>
      <c r="BH816" s="109"/>
      <c r="BI816" s="109"/>
      <c r="BJ816" s="109"/>
      <c r="BK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63"/>
      <c r="J817" s="109"/>
      <c r="K817" s="109"/>
      <c r="L817" s="109"/>
      <c r="M817" s="109"/>
      <c r="N817" s="109"/>
      <c r="O817" s="164"/>
      <c r="P817" s="165"/>
      <c r="Q817" s="165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  <c r="AO817" s="109"/>
      <c r="AP817" s="109"/>
      <c r="AQ817" s="109"/>
      <c r="AR817" s="109"/>
      <c r="AS817" s="109"/>
      <c r="AT817" s="109"/>
      <c r="AU817" s="109"/>
      <c r="AV817" s="109"/>
      <c r="AW817" s="109"/>
      <c r="AX817" s="109"/>
      <c r="AY817" s="109"/>
      <c r="AZ817" s="109"/>
      <c r="BA817" s="109"/>
      <c r="BB817" s="109"/>
      <c r="BC817" s="109"/>
      <c r="BD817" s="109"/>
      <c r="BE817" s="109"/>
      <c r="BF817" s="109"/>
      <c r="BG817" s="109"/>
      <c r="BH817" s="109"/>
      <c r="BI817" s="109"/>
      <c r="BJ817" s="109"/>
      <c r="BK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63"/>
      <c r="J818" s="109"/>
      <c r="K818" s="109"/>
      <c r="L818" s="109"/>
      <c r="M818" s="109"/>
      <c r="N818" s="109"/>
      <c r="O818" s="164"/>
      <c r="P818" s="165"/>
      <c r="Q818" s="165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  <c r="AO818" s="109"/>
      <c r="AP818" s="109"/>
      <c r="AQ818" s="109"/>
      <c r="AR818" s="109"/>
      <c r="AS818" s="109"/>
      <c r="AT818" s="109"/>
      <c r="AU818" s="109"/>
      <c r="AV818" s="109"/>
      <c r="AW818" s="109"/>
      <c r="AX818" s="109"/>
      <c r="AY818" s="109"/>
      <c r="AZ818" s="109"/>
      <c r="BA818" s="109"/>
      <c r="BB818" s="109"/>
      <c r="BC818" s="109"/>
      <c r="BD818" s="109"/>
      <c r="BE818" s="109"/>
      <c r="BF818" s="109"/>
      <c r="BG818" s="109"/>
      <c r="BH818" s="109"/>
      <c r="BI818" s="109"/>
      <c r="BJ818" s="109"/>
      <c r="BK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63"/>
      <c r="J819" s="109"/>
      <c r="K819" s="109"/>
      <c r="L819" s="109"/>
      <c r="M819" s="109"/>
      <c r="N819" s="109"/>
      <c r="O819" s="164"/>
      <c r="P819" s="165"/>
      <c r="Q819" s="165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  <c r="AO819" s="109"/>
      <c r="AP819" s="109"/>
      <c r="AQ819" s="109"/>
      <c r="AR819" s="109"/>
      <c r="AS819" s="109"/>
      <c r="AT819" s="109"/>
      <c r="AU819" s="109"/>
      <c r="AV819" s="109"/>
      <c r="AW819" s="109"/>
      <c r="AX819" s="109"/>
      <c r="AY819" s="109"/>
      <c r="AZ819" s="109"/>
      <c r="BA819" s="109"/>
      <c r="BB819" s="109"/>
      <c r="BC819" s="109"/>
      <c r="BD819" s="109"/>
      <c r="BE819" s="109"/>
      <c r="BF819" s="109"/>
      <c r="BG819" s="109"/>
      <c r="BH819" s="109"/>
      <c r="BI819" s="109"/>
      <c r="BJ819" s="109"/>
      <c r="BK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63"/>
      <c r="J820" s="109"/>
      <c r="K820" s="109"/>
      <c r="L820" s="109"/>
      <c r="M820" s="109"/>
      <c r="N820" s="109"/>
      <c r="O820" s="164"/>
      <c r="P820" s="165"/>
      <c r="Q820" s="165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  <c r="AO820" s="109"/>
      <c r="AP820" s="109"/>
      <c r="AQ820" s="109"/>
      <c r="AR820" s="109"/>
      <c r="AS820" s="109"/>
      <c r="AT820" s="109"/>
      <c r="AU820" s="109"/>
      <c r="AV820" s="109"/>
      <c r="AW820" s="109"/>
      <c r="AX820" s="109"/>
      <c r="AY820" s="109"/>
      <c r="AZ820" s="109"/>
      <c r="BA820" s="109"/>
      <c r="BB820" s="109"/>
      <c r="BC820" s="109"/>
      <c r="BD820" s="109"/>
      <c r="BE820" s="109"/>
      <c r="BF820" s="109"/>
      <c r="BG820" s="109"/>
      <c r="BH820" s="109"/>
      <c r="BI820" s="109"/>
      <c r="BJ820" s="109"/>
      <c r="BK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63"/>
      <c r="J821" s="109"/>
      <c r="K821" s="109"/>
      <c r="L821" s="109"/>
      <c r="M821" s="109"/>
      <c r="N821" s="109"/>
      <c r="O821" s="164"/>
      <c r="P821" s="165"/>
      <c r="Q821" s="165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  <c r="AO821" s="109"/>
      <c r="AP821" s="109"/>
      <c r="AQ821" s="109"/>
      <c r="AR821" s="109"/>
      <c r="AS821" s="109"/>
      <c r="AT821" s="109"/>
      <c r="AU821" s="109"/>
      <c r="AV821" s="109"/>
      <c r="AW821" s="109"/>
      <c r="AX821" s="109"/>
      <c r="AY821" s="109"/>
      <c r="AZ821" s="109"/>
      <c r="BA821" s="109"/>
      <c r="BB821" s="109"/>
      <c r="BC821" s="109"/>
      <c r="BD821" s="109"/>
      <c r="BE821" s="109"/>
      <c r="BF821" s="109"/>
      <c r="BG821" s="109"/>
      <c r="BH821" s="109"/>
      <c r="BI821" s="109"/>
      <c r="BJ821" s="109"/>
      <c r="BK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63"/>
      <c r="J822" s="109"/>
      <c r="K822" s="109"/>
      <c r="L822" s="109"/>
      <c r="M822" s="109"/>
      <c r="N822" s="109"/>
      <c r="O822" s="164"/>
      <c r="P822" s="165"/>
      <c r="Q822" s="165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  <c r="AO822" s="109"/>
      <c r="AP822" s="109"/>
      <c r="AQ822" s="109"/>
      <c r="AR822" s="109"/>
      <c r="AS822" s="109"/>
      <c r="AT822" s="109"/>
      <c r="AU822" s="109"/>
      <c r="AV822" s="109"/>
      <c r="AW822" s="109"/>
      <c r="AX822" s="109"/>
      <c r="AY822" s="109"/>
      <c r="AZ822" s="109"/>
      <c r="BA822" s="109"/>
      <c r="BB822" s="109"/>
      <c r="BC822" s="109"/>
      <c r="BD822" s="109"/>
      <c r="BE822" s="109"/>
      <c r="BF822" s="109"/>
      <c r="BG822" s="109"/>
      <c r="BH822" s="109"/>
      <c r="BI822" s="109"/>
      <c r="BJ822" s="109"/>
      <c r="BK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63"/>
      <c r="J823" s="109"/>
      <c r="K823" s="109"/>
      <c r="L823" s="109"/>
      <c r="M823" s="109"/>
      <c r="N823" s="109"/>
      <c r="O823" s="164"/>
      <c r="P823" s="165"/>
      <c r="Q823" s="165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  <c r="AO823" s="109"/>
      <c r="AP823" s="109"/>
      <c r="AQ823" s="109"/>
      <c r="AR823" s="109"/>
      <c r="AS823" s="109"/>
      <c r="AT823" s="109"/>
      <c r="AU823" s="109"/>
      <c r="AV823" s="109"/>
      <c r="AW823" s="109"/>
      <c r="AX823" s="109"/>
      <c r="AY823" s="109"/>
      <c r="AZ823" s="109"/>
      <c r="BA823" s="109"/>
      <c r="BB823" s="109"/>
      <c r="BC823" s="109"/>
      <c r="BD823" s="109"/>
      <c r="BE823" s="109"/>
      <c r="BF823" s="109"/>
      <c r="BG823" s="109"/>
      <c r="BH823" s="109"/>
      <c r="BI823" s="109"/>
      <c r="BJ823" s="109"/>
      <c r="BK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63"/>
      <c r="J824" s="109"/>
      <c r="K824" s="109"/>
      <c r="L824" s="109"/>
      <c r="M824" s="109"/>
      <c r="N824" s="109"/>
      <c r="O824" s="164"/>
      <c r="P824" s="165"/>
      <c r="Q824" s="165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  <c r="AO824" s="109"/>
      <c r="AP824" s="109"/>
      <c r="AQ824" s="109"/>
      <c r="AR824" s="109"/>
      <c r="AS824" s="109"/>
      <c r="AT824" s="109"/>
      <c r="AU824" s="109"/>
      <c r="AV824" s="109"/>
      <c r="AW824" s="109"/>
      <c r="AX824" s="109"/>
      <c r="AY824" s="109"/>
      <c r="AZ824" s="109"/>
      <c r="BA824" s="109"/>
      <c r="BB824" s="109"/>
      <c r="BC824" s="109"/>
      <c r="BD824" s="109"/>
      <c r="BE824" s="109"/>
      <c r="BF824" s="109"/>
      <c r="BG824" s="109"/>
      <c r="BH824" s="109"/>
      <c r="BI824" s="109"/>
      <c r="BJ824" s="109"/>
      <c r="BK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63"/>
      <c r="J825" s="109"/>
      <c r="K825" s="109"/>
      <c r="L825" s="109"/>
      <c r="M825" s="109"/>
      <c r="N825" s="109"/>
      <c r="O825" s="164"/>
      <c r="P825" s="165"/>
      <c r="Q825" s="165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  <c r="AO825" s="109"/>
      <c r="AP825" s="109"/>
      <c r="AQ825" s="109"/>
      <c r="AR825" s="109"/>
      <c r="AS825" s="109"/>
      <c r="AT825" s="109"/>
      <c r="AU825" s="109"/>
      <c r="AV825" s="109"/>
      <c r="AW825" s="109"/>
      <c r="AX825" s="109"/>
      <c r="AY825" s="109"/>
      <c r="AZ825" s="109"/>
      <c r="BA825" s="109"/>
      <c r="BB825" s="109"/>
      <c r="BC825" s="109"/>
      <c r="BD825" s="109"/>
      <c r="BE825" s="109"/>
      <c r="BF825" s="109"/>
      <c r="BG825" s="109"/>
      <c r="BH825" s="109"/>
      <c r="BI825" s="109"/>
      <c r="BJ825" s="109"/>
      <c r="BK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63"/>
      <c r="J826" s="109"/>
      <c r="K826" s="109"/>
      <c r="L826" s="109"/>
      <c r="M826" s="109"/>
      <c r="N826" s="109"/>
      <c r="O826" s="164"/>
      <c r="P826" s="165"/>
      <c r="Q826" s="165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  <c r="AO826" s="109"/>
      <c r="AP826" s="109"/>
      <c r="AQ826" s="109"/>
      <c r="AR826" s="109"/>
      <c r="AS826" s="109"/>
      <c r="AT826" s="109"/>
      <c r="AU826" s="109"/>
      <c r="AV826" s="109"/>
      <c r="AW826" s="109"/>
      <c r="AX826" s="109"/>
      <c r="AY826" s="109"/>
      <c r="AZ826" s="109"/>
      <c r="BA826" s="109"/>
      <c r="BB826" s="109"/>
      <c r="BC826" s="109"/>
      <c r="BD826" s="109"/>
      <c r="BE826" s="109"/>
      <c r="BF826" s="109"/>
      <c r="BG826" s="109"/>
      <c r="BH826" s="109"/>
      <c r="BI826" s="109"/>
      <c r="BJ826" s="109"/>
      <c r="BK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63"/>
      <c r="J827" s="109"/>
      <c r="K827" s="109"/>
      <c r="L827" s="109"/>
      <c r="M827" s="109"/>
      <c r="N827" s="109"/>
      <c r="O827" s="164"/>
      <c r="P827" s="165"/>
      <c r="Q827" s="165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  <c r="AO827" s="109"/>
      <c r="AP827" s="109"/>
      <c r="AQ827" s="109"/>
      <c r="AR827" s="109"/>
      <c r="AS827" s="109"/>
      <c r="AT827" s="109"/>
      <c r="AU827" s="109"/>
      <c r="AV827" s="109"/>
      <c r="AW827" s="109"/>
      <c r="AX827" s="109"/>
      <c r="AY827" s="109"/>
      <c r="AZ827" s="109"/>
      <c r="BA827" s="109"/>
      <c r="BB827" s="109"/>
      <c r="BC827" s="109"/>
      <c r="BD827" s="109"/>
      <c r="BE827" s="109"/>
      <c r="BF827" s="109"/>
      <c r="BG827" s="109"/>
      <c r="BH827" s="109"/>
      <c r="BI827" s="109"/>
      <c r="BJ827" s="109"/>
      <c r="BK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63"/>
      <c r="J828" s="109"/>
      <c r="K828" s="109"/>
      <c r="L828" s="109"/>
      <c r="M828" s="109"/>
      <c r="N828" s="109"/>
      <c r="O828" s="164"/>
      <c r="P828" s="165"/>
      <c r="Q828" s="165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  <c r="AO828" s="109"/>
      <c r="AP828" s="109"/>
      <c r="AQ828" s="109"/>
      <c r="AR828" s="109"/>
      <c r="AS828" s="109"/>
      <c r="AT828" s="109"/>
      <c r="AU828" s="109"/>
      <c r="AV828" s="109"/>
      <c r="AW828" s="109"/>
      <c r="AX828" s="109"/>
      <c r="AY828" s="109"/>
      <c r="AZ828" s="109"/>
      <c r="BA828" s="109"/>
      <c r="BB828" s="109"/>
      <c r="BC828" s="109"/>
      <c r="BD828" s="109"/>
      <c r="BE828" s="109"/>
      <c r="BF828" s="109"/>
      <c r="BG828" s="109"/>
      <c r="BH828" s="109"/>
      <c r="BI828" s="109"/>
      <c r="BJ828" s="109"/>
      <c r="BK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63"/>
      <c r="J829" s="109"/>
      <c r="K829" s="109"/>
      <c r="L829" s="109"/>
      <c r="M829" s="109"/>
      <c r="N829" s="109"/>
      <c r="O829" s="164"/>
      <c r="P829" s="165"/>
      <c r="Q829" s="165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  <c r="AO829" s="109"/>
      <c r="AP829" s="109"/>
      <c r="AQ829" s="109"/>
      <c r="AR829" s="109"/>
      <c r="AS829" s="109"/>
      <c r="AT829" s="109"/>
      <c r="AU829" s="109"/>
      <c r="AV829" s="109"/>
      <c r="AW829" s="109"/>
      <c r="AX829" s="109"/>
      <c r="AY829" s="109"/>
      <c r="AZ829" s="109"/>
      <c r="BA829" s="109"/>
      <c r="BB829" s="109"/>
      <c r="BC829" s="109"/>
      <c r="BD829" s="109"/>
      <c r="BE829" s="109"/>
      <c r="BF829" s="109"/>
      <c r="BG829" s="109"/>
      <c r="BH829" s="109"/>
      <c r="BI829" s="109"/>
      <c r="BJ829" s="109"/>
      <c r="BK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63"/>
      <c r="J830" s="109"/>
      <c r="K830" s="109"/>
      <c r="L830" s="109"/>
      <c r="M830" s="109"/>
      <c r="N830" s="109"/>
      <c r="O830" s="164"/>
      <c r="P830" s="165"/>
      <c r="Q830" s="165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  <c r="AO830" s="109"/>
      <c r="AP830" s="109"/>
      <c r="AQ830" s="109"/>
      <c r="AR830" s="109"/>
      <c r="AS830" s="109"/>
      <c r="AT830" s="109"/>
      <c r="AU830" s="109"/>
      <c r="AV830" s="109"/>
      <c r="AW830" s="109"/>
      <c r="AX830" s="109"/>
      <c r="AY830" s="109"/>
      <c r="AZ830" s="109"/>
      <c r="BA830" s="109"/>
      <c r="BB830" s="109"/>
      <c r="BC830" s="109"/>
      <c r="BD830" s="109"/>
      <c r="BE830" s="109"/>
      <c r="BF830" s="109"/>
      <c r="BG830" s="109"/>
      <c r="BH830" s="109"/>
      <c r="BI830" s="109"/>
      <c r="BJ830" s="109"/>
      <c r="BK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63"/>
      <c r="J831" s="109"/>
      <c r="K831" s="109"/>
      <c r="L831" s="109"/>
      <c r="M831" s="109"/>
      <c r="N831" s="109"/>
      <c r="O831" s="164"/>
      <c r="P831" s="165"/>
      <c r="Q831" s="165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  <c r="AO831" s="109"/>
      <c r="AP831" s="109"/>
      <c r="AQ831" s="109"/>
      <c r="AR831" s="109"/>
      <c r="AS831" s="109"/>
      <c r="AT831" s="109"/>
      <c r="AU831" s="109"/>
      <c r="AV831" s="109"/>
      <c r="AW831" s="109"/>
      <c r="AX831" s="109"/>
      <c r="AY831" s="109"/>
      <c r="AZ831" s="109"/>
      <c r="BA831" s="109"/>
      <c r="BB831" s="109"/>
      <c r="BC831" s="109"/>
      <c r="BD831" s="109"/>
      <c r="BE831" s="109"/>
      <c r="BF831" s="109"/>
      <c r="BG831" s="109"/>
      <c r="BH831" s="109"/>
      <c r="BI831" s="109"/>
      <c r="BJ831" s="109"/>
      <c r="BK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63"/>
      <c r="J832" s="109"/>
      <c r="K832" s="109"/>
      <c r="L832" s="109"/>
      <c r="M832" s="109"/>
      <c r="N832" s="109"/>
      <c r="O832" s="164"/>
      <c r="P832" s="165"/>
      <c r="Q832" s="165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  <c r="AO832" s="109"/>
      <c r="AP832" s="109"/>
      <c r="AQ832" s="109"/>
      <c r="AR832" s="109"/>
      <c r="AS832" s="109"/>
      <c r="AT832" s="109"/>
      <c r="AU832" s="109"/>
      <c r="AV832" s="109"/>
      <c r="AW832" s="109"/>
      <c r="AX832" s="109"/>
      <c r="AY832" s="109"/>
      <c r="AZ832" s="109"/>
      <c r="BA832" s="109"/>
      <c r="BB832" s="109"/>
      <c r="BC832" s="109"/>
      <c r="BD832" s="109"/>
      <c r="BE832" s="109"/>
      <c r="BF832" s="109"/>
      <c r="BG832" s="109"/>
      <c r="BH832" s="109"/>
      <c r="BI832" s="109"/>
      <c r="BJ832" s="109"/>
      <c r="BK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63"/>
      <c r="J833" s="109"/>
      <c r="K833" s="109"/>
      <c r="L833" s="109"/>
      <c r="M833" s="109"/>
      <c r="N833" s="109"/>
      <c r="O833" s="164"/>
      <c r="P833" s="165"/>
      <c r="Q833" s="165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  <c r="AO833" s="109"/>
      <c r="AP833" s="109"/>
      <c r="AQ833" s="109"/>
      <c r="AR833" s="109"/>
      <c r="AS833" s="109"/>
      <c r="AT833" s="109"/>
      <c r="AU833" s="109"/>
      <c r="AV833" s="109"/>
      <c r="AW833" s="109"/>
      <c r="AX833" s="109"/>
      <c r="AY833" s="109"/>
      <c r="AZ833" s="109"/>
      <c r="BA833" s="109"/>
      <c r="BB833" s="109"/>
      <c r="BC833" s="109"/>
      <c r="BD833" s="109"/>
      <c r="BE833" s="109"/>
      <c r="BF833" s="109"/>
      <c r="BG833" s="109"/>
      <c r="BH833" s="109"/>
      <c r="BI833" s="109"/>
      <c r="BJ833" s="109"/>
      <c r="BK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63"/>
      <c r="J834" s="109"/>
      <c r="K834" s="109"/>
      <c r="L834" s="109"/>
      <c r="M834" s="109"/>
      <c r="N834" s="109"/>
      <c r="O834" s="164"/>
      <c r="P834" s="165"/>
      <c r="Q834" s="165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  <c r="AO834" s="109"/>
      <c r="AP834" s="109"/>
      <c r="AQ834" s="109"/>
      <c r="AR834" s="109"/>
      <c r="AS834" s="109"/>
      <c r="AT834" s="109"/>
      <c r="AU834" s="109"/>
      <c r="AV834" s="109"/>
      <c r="AW834" s="109"/>
      <c r="AX834" s="109"/>
      <c r="AY834" s="109"/>
      <c r="AZ834" s="109"/>
      <c r="BA834" s="109"/>
      <c r="BB834" s="109"/>
      <c r="BC834" s="109"/>
      <c r="BD834" s="109"/>
      <c r="BE834" s="109"/>
      <c r="BF834" s="109"/>
      <c r="BG834" s="109"/>
      <c r="BH834" s="109"/>
      <c r="BI834" s="109"/>
      <c r="BJ834" s="109"/>
      <c r="BK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63"/>
      <c r="J835" s="109"/>
      <c r="K835" s="109"/>
      <c r="L835" s="109"/>
      <c r="M835" s="109"/>
      <c r="N835" s="109"/>
      <c r="O835" s="164"/>
      <c r="P835" s="165"/>
      <c r="Q835" s="165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  <c r="AO835" s="109"/>
      <c r="AP835" s="109"/>
      <c r="AQ835" s="109"/>
      <c r="AR835" s="109"/>
      <c r="AS835" s="109"/>
      <c r="AT835" s="109"/>
      <c r="AU835" s="109"/>
      <c r="AV835" s="109"/>
      <c r="AW835" s="109"/>
      <c r="AX835" s="109"/>
      <c r="AY835" s="109"/>
      <c r="AZ835" s="109"/>
      <c r="BA835" s="109"/>
      <c r="BB835" s="109"/>
      <c r="BC835" s="109"/>
      <c r="BD835" s="109"/>
      <c r="BE835" s="109"/>
      <c r="BF835" s="109"/>
      <c r="BG835" s="109"/>
      <c r="BH835" s="109"/>
      <c r="BI835" s="109"/>
      <c r="BJ835" s="109"/>
      <c r="BK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63"/>
      <c r="J836" s="109"/>
      <c r="K836" s="109"/>
      <c r="L836" s="109"/>
      <c r="M836" s="109"/>
      <c r="N836" s="109"/>
      <c r="O836" s="164"/>
      <c r="P836" s="165"/>
      <c r="Q836" s="165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  <c r="AO836" s="109"/>
      <c r="AP836" s="109"/>
      <c r="AQ836" s="109"/>
      <c r="AR836" s="109"/>
      <c r="AS836" s="109"/>
      <c r="AT836" s="109"/>
      <c r="AU836" s="109"/>
      <c r="AV836" s="109"/>
      <c r="AW836" s="109"/>
      <c r="AX836" s="109"/>
      <c r="AY836" s="109"/>
      <c r="AZ836" s="109"/>
      <c r="BA836" s="109"/>
      <c r="BB836" s="109"/>
      <c r="BC836" s="109"/>
      <c r="BD836" s="109"/>
      <c r="BE836" s="109"/>
      <c r="BF836" s="109"/>
      <c r="BG836" s="109"/>
      <c r="BH836" s="109"/>
      <c r="BI836" s="109"/>
      <c r="BJ836" s="109"/>
      <c r="BK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63"/>
      <c r="J837" s="109"/>
      <c r="K837" s="109"/>
      <c r="L837" s="109"/>
      <c r="M837" s="109"/>
      <c r="N837" s="109"/>
      <c r="O837" s="164"/>
      <c r="P837" s="165"/>
      <c r="Q837" s="165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  <c r="AO837" s="109"/>
      <c r="AP837" s="109"/>
      <c r="AQ837" s="109"/>
      <c r="AR837" s="109"/>
      <c r="AS837" s="109"/>
      <c r="AT837" s="109"/>
      <c r="AU837" s="109"/>
      <c r="AV837" s="109"/>
      <c r="AW837" s="109"/>
      <c r="AX837" s="109"/>
      <c r="AY837" s="109"/>
      <c r="AZ837" s="109"/>
      <c r="BA837" s="109"/>
      <c r="BB837" s="109"/>
      <c r="BC837" s="109"/>
      <c r="BD837" s="109"/>
      <c r="BE837" s="109"/>
      <c r="BF837" s="109"/>
      <c r="BG837" s="109"/>
      <c r="BH837" s="109"/>
      <c r="BI837" s="109"/>
      <c r="BJ837" s="109"/>
      <c r="BK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63"/>
      <c r="J838" s="109"/>
      <c r="K838" s="109"/>
      <c r="L838" s="109"/>
      <c r="M838" s="109"/>
      <c r="N838" s="109"/>
      <c r="O838" s="164"/>
      <c r="P838" s="165"/>
      <c r="Q838" s="165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  <c r="AO838" s="109"/>
      <c r="AP838" s="109"/>
      <c r="AQ838" s="109"/>
      <c r="AR838" s="109"/>
      <c r="AS838" s="109"/>
      <c r="AT838" s="109"/>
      <c r="AU838" s="109"/>
      <c r="AV838" s="109"/>
      <c r="AW838" s="109"/>
      <c r="AX838" s="109"/>
      <c r="AY838" s="109"/>
      <c r="AZ838" s="109"/>
      <c r="BA838" s="109"/>
      <c r="BB838" s="109"/>
      <c r="BC838" s="109"/>
      <c r="BD838" s="109"/>
      <c r="BE838" s="109"/>
      <c r="BF838" s="109"/>
      <c r="BG838" s="109"/>
      <c r="BH838" s="109"/>
      <c r="BI838" s="109"/>
      <c r="BJ838" s="109"/>
      <c r="BK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63"/>
      <c r="J839" s="109"/>
      <c r="K839" s="109"/>
      <c r="L839" s="109"/>
      <c r="M839" s="109"/>
      <c r="N839" s="109"/>
      <c r="O839" s="164"/>
      <c r="P839" s="165"/>
      <c r="Q839" s="165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  <c r="AO839" s="109"/>
      <c r="AP839" s="109"/>
      <c r="AQ839" s="109"/>
      <c r="AR839" s="109"/>
      <c r="AS839" s="109"/>
      <c r="AT839" s="109"/>
      <c r="AU839" s="109"/>
      <c r="AV839" s="109"/>
      <c r="AW839" s="109"/>
      <c r="AX839" s="109"/>
      <c r="AY839" s="109"/>
      <c r="AZ839" s="109"/>
      <c r="BA839" s="109"/>
      <c r="BB839" s="109"/>
      <c r="BC839" s="109"/>
      <c r="BD839" s="109"/>
      <c r="BE839" s="109"/>
      <c r="BF839" s="109"/>
      <c r="BG839" s="109"/>
      <c r="BH839" s="109"/>
      <c r="BI839" s="109"/>
      <c r="BJ839" s="109"/>
      <c r="BK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63"/>
      <c r="J840" s="109"/>
      <c r="K840" s="109"/>
      <c r="L840" s="109"/>
      <c r="M840" s="109"/>
      <c r="N840" s="109"/>
      <c r="O840" s="164"/>
      <c r="P840" s="165"/>
      <c r="Q840" s="165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  <c r="AO840" s="109"/>
      <c r="AP840" s="109"/>
      <c r="AQ840" s="109"/>
      <c r="AR840" s="109"/>
      <c r="AS840" s="109"/>
      <c r="AT840" s="109"/>
      <c r="AU840" s="109"/>
      <c r="AV840" s="109"/>
      <c r="AW840" s="109"/>
      <c r="AX840" s="109"/>
      <c r="AY840" s="109"/>
      <c r="AZ840" s="109"/>
      <c r="BA840" s="109"/>
      <c r="BB840" s="109"/>
      <c r="BC840" s="109"/>
      <c r="BD840" s="109"/>
      <c r="BE840" s="109"/>
      <c r="BF840" s="109"/>
      <c r="BG840" s="109"/>
      <c r="BH840" s="109"/>
      <c r="BI840" s="109"/>
      <c r="BJ840" s="109"/>
      <c r="BK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63"/>
      <c r="J841" s="109"/>
      <c r="K841" s="109"/>
      <c r="L841" s="109"/>
      <c r="M841" s="109"/>
      <c r="N841" s="109"/>
      <c r="O841" s="164"/>
      <c r="P841" s="165"/>
      <c r="Q841" s="165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  <c r="AO841" s="109"/>
      <c r="AP841" s="109"/>
      <c r="AQ841" s="109"/>
      <c r="AR841" s="109"/>
      <c r="AS841" s="109"/>
      <c r="AT841" s="109"/>
      <c r="AU841" s="109"/>
      <c r="AV841" s="109"/>
      <c r="AW841" s="109"/>
      <c r="AX841" s="109"/>
      <c r="AY841" s="109"/>
      <c r="AZ841" s="109"/>
      <c r="BA841" s="109"/>
      <c r="BB841" s="109"/>
      <c r="BC841" s="109"/>
      <c r="BD841" s="109"/>
      <c r="BE841" s="109"/>
      <c r="BF841" s="109"/>
      <c r="BG841" s="109"/>
      <c r="BH841" s="109"/>
      <c r="BI841" s="109"/>
      <c r="BJ841" s="109"/>
      <c r="BK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63"/>
      <c r="J842" s="109"/>
      <c r="K842" s="109"/>
      <c r="L842" s="109"/>
      <c r="M842" s="109"/>
      <c r="N842" s="109"/>
      <c r="O842" s="164"/>
      <c r="P842" s="165"/>
      <c r="Q842" s="165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  <c r="AO842" s="109"/>
      <c r="AP842" s="109"/>
      <c r="AQ842" s="109"/>
      <c r="AR842" s="109"/>
      <c r="AS842" s="109"/>
      <c r="AT842" s="109"/>
      <c r="AU842" s="109"/>
      <c r="AV842" s="109"/>
      <c r="AW842" s="109"/>
      <c r="AX842" s="109"/>
      <c r="AY842" s="109"/>
      <c r="AZ842" s="109"/>
      <c r="BA842" s="109"/>
      <c r="BB842" s="109"/>
      <c r="BC842" s="109"/>
      <c r="BD842" s="109"/>
      <c r="BE842" s="109"/>
      <c r="BF842" s="109"/>
      <c r="BG842" s="109"/>
      <c r="BH842" s="109"/>
      <c r="BI842" s="109"/>
      <c r="BJ842" s="109"/>
      <c r="BK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63"/>
      <c r="J843" s="109"/>
      <c r="K843" s="109"/>
      <c r="L843" s="109"/>
      <c r="M843" s="109"/>
      <c r="N843" s="109"/>
      <c r="O843" s="164"/>
      <c r="P843" s="165"/>
      <c r="Q843" s="165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  <c r="AO843" s="109"/>
      <c r="AP843" s="109"/>
      <c r="AQ843" s="109"/>
      <c r="AR843" s="109"/>
      <c r="AS843" s="109"/>
      <c r="AT843" s="109"/>
      <c r="AU843" s="109"/>
      <c r="AV843" s="109"/>
      <c r="AW843" s="109"/>
      <c r="AX843" s="109"/>
      <c r="AY843" s="109"/>
      <c r="AZ843" s="109"/>
      <c r="BA843" s="109"/>
      <c r="BB843" s="109"/>
      <c r="BC843" s="109"/>
      <c r="BD843" s="109"/>
      <c r="BE843" s="109"/>
      <c r="BF843" s="109"/>
      <c r="BG843" s="109"/>
      <c r="BH843" s="109"/>
      <c r="BI843" s="109"/>
      <c r="BJ843" s="109"/>
      <c r="BK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63"/>
      <c r="J844" s="109"/>
      <c r="K844" s="109"/>
      <c r="L844" s="109"/>
      <c r="M844" s="109"/>
      <c r="N844" s="109"/>
      <c r="O844" s="164"/>
      <c r="P844" s="165"/>
      <c r="Q844" s="165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  <c r="AO844" s="109"/>
      <c r="AP844" s="109"/>
      <c r="AQ844" s="109"/>
      <c r="AR844" s="109"/>
      <c r="AS844" s="109"/>
      <c r="AT844" s="109"/>
      <c r="AU844" s="109"/>
      <c r="AV844" s="109"/>
      <c r="AW844" s="109"/>
      <c r="AX844" s="109"/>
      <c r="AY844" s="109"/>
      <c r="AZ844" s="109"/>
      <c r="BA844" s="109"/>
      <c r="BB844" s="109"/>
      <c r="BC844" s="109"/>
      <c r="BD844" s="109"/>
      <c r="BE844" s="109"/>
      <c r="BF844" s="109"/>
      <c r="BG844" s="109"/>
      <c r="BH844" s="109"/>
      <c r="BI844" s="109"/>
      <c r="BJ844" s="109"/>
      <c r="BK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63"/>
      <c r="J845" s="109"/>
      <c r="K845" s="109"/>
      <c r="L845" s="109"/>
      <c r="M845" s="109"/>
      <c r="N845" s="109"/>
      <c r="O845" s="164"/>
      <c r="P845" s="165"/>
      <c r="Q845" s="165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  <c r="AO845" s="109"/>
      <c r="AP845" s="109"/>
      <c r="AQ845" s="109"/>
      <c r="AR845" s="109"/>
      <c r="AS845" s="109"/>
      <c r="AT845" s="109"/>
      <c r="AU845" s="109"/>
      <c r="AV845" s="109"/>
      <c r="AW845" s="109"/>
      <c r="AX845" s="109"/>
      <c r="AY845" s="109"/>
      <c r="AZ845" s="109"/>
      <c r="BA845" s="109"/>
      <c r="BB845" s="109"/>
      <c r="BC845" s="109"/>
      <c r="BD845" s="109"/>
      <c r="BE845" s="109"/>
      <c r="BF845" s="109"/>
      <c r="BG845" s="109"/>
      <c r="BH845" s="109"/>
      <c r="BI845" s="109"/>
      <c r="BJ845" s="109"/>
      <c r="BK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63"/>
      <c r="J846" s="109"/>
      <c r="K846" s="109"/>
      <c r="L846" s="109"/>
      <c r="M846" s="109"/>
      <c r="N846" s="109"/>
      <c r="O846" s="164"/>
      <c r="P846" s="165"/>
      <c r="Q846" s="165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  <c r="AO846" s="109"/>
      <c r="AP846" s="109"/>
      <c r="AQ846" s="109"/>
      <c r="AR846" s="109"/>
      <c r="AS846" s="109"/>
      <c r="AT846" s="109"/>
      <c r="AU846" s="109"/>
      <c r="AV846" s="109"/>
      <c r="AW846" s="109"/>
      <c r="AX846" s="109"/>
      <c r="AY846" s="109"/>
      <c r="AZ846" s="109"/>
      <c r="BA846" s="109"/>
      <c r="BB846" s="109"/>
      <c r="BC846" s="109"/>
      <c r="BD846" s="109"/>
      <c r="BE846" s="109"/>
      <c r="BF846" s="109"/>
      <c r="BG846" s="109"/>
      <c r="BH846" s="109"/>
      <c r="BI846" s="109"/>
      <c r="BJ846" s="109"/>
      <c r="BK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63"/>
      <c r="J847" s="109"/>
      <c r="K847" s="109"/>
      <c r="L847" s="109"/>
      <c r="M847" s="109"/>
      <c r="N847" s="109"/>
      <c r="O847" s="164"/>
      <c r="P847" s="165"/>
      <c r="Q847" s="165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  <c r="AO847" s="109"/>
      <c r="AP847" s="109"/>
      <c r="AQ847" s="109"/>
      <c r="AR847" s="109"/>
      <c r="AS847" s="109"/>
      <c r="AT847" s="109"/>
      <c r="AU847" s="109"/>
      <c r="AV847" s="109"/>
      <c r="AW847" s="109"/>
      <c r="AX847" s="109"/>
      <c r="AY847" s="109"/>
      <c r="AZ847" s="109"/>
      <c r="BA847" s="109"/>
      <c r="BB847" s="109"/>
      <c r="BC847" s="109"/>
      <c r="BD847" s="109"/>
      <c r="BE847" s="109"/>
      <c r="BF847" s="109"/>
      <c r="BG847" s="109"/>
      <c r="BH847" s="109"/>
      <c r="BI847" s="109"/>
      <c r="BJ847" s="109"/>
      <c r="BK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63"/>
      <c r="J848" s="109"/>
      <c r="K848" s="109"/>
      <c r="L848" s="109"/>
      <c r="M848" s="109"/>
      <c r="N848" s="109"/>
      <c r="O848" s="164"/>
      <c r="P848" s="165"/>
      <c r="Q848" s="165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  <c r="AO848" s="109"/>
      <c r="AP848" s="109"/>
      <c r="AQ848" s="109"/>
      <c r="AR848" s="109"/>
      <c r="AS848" s="109"/>
      <c r="AT848" s="109"/>
      <c r="AU848" s="109"/>
      <c r="AV848" s="109"/>
      <c r="AW848" s="109"/>
      <c r="AX848" s="109"/>
      <c r="AY848" s="109"/>
      <c r="AZ848" s="109"/>
      <c r="BA848" s="109"/>
      <c r="BB848" s="109"/>
      <c r="BC848" s="109"/>
      <c r="BD848" s="109"/>
      <c r="BE848" s="109"/>
      <c r="BF848" s="109"/>
      <c r="BG848" s="109"/>
      <c r="BH848" s="109"/>
      <c r="BI848" s="109"/>
      <c r="BJ848" s="109"/>
      <c r="BK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63"/>
      <c r="J849" s="109"/>
      <c r="K849" s="109"/>
      <c r="L849" s="109"/>
      <c r="M849" s="109"/>
      <c r="N849" s="109"/>
      <c r="O849" s="164"/>
      <c r="P849" s="165"/>
      <c r="Q849" s="165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  <c r="AO849" s="109"/>
      <c r="AP849" s="109"/>
      <c r="AQ849" s="109"/>
      <c r="AR849" s="109"/>
      <c r="AS849" s="109"/>
      <c r="AT849" s="109"/>
      <c r="AU849" s="109"/>
      <c r="AV849" s="109"/>
      <c r="AW849" s="109"/>
      <c r="AX849" s="109"/>
      <c r="AY849" s="109"/>
      <c r="AZ849" s="109"/>
      <c r="BA849" s="109"/>
      <c r="BB849" s="109"/>
      <c r="BC849" s="109"/>
      <c r="BD849" s="109"/>
      <c r="BE849" s="109"/>
      <c r="BF849" s="109"/>
      <c r="BG849" s="109"/>
      <c r="BH849" s="109"/>
      <c r="BI849" s="109"/>
      <c r="BJ849" s="109"/>
      <c r="BK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63"/>
      <c r="J850" s="109"/>
      <c r="K850" s="109"/>
      <c r="L850" s="109"/>
      <c r="M850" s="109"/>
      <c r="N850" s="109"/>
      <c r="O850" s="164"/>
      <c r="P850" s="165"/>
      <c r="Q850" s="165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  <c r="AO850" s="109"/>
      <c r="AP850" s="109"/>
      <c r="AQ850" s="109"/>
      <c r="AR850" s="109"/>
      <c r="AS850" s="109"/>
      <c r="AT850" s="109"/>
      <c r="AU850" s="109"/>
      <c r="AV850" s="109"/>
      <c r="AW850" s="109"/>
      <c r="AX850" s="109"/>
      <c r="AY850" s="109"/>
      <c r="AZ850" s="109"/>
      <c r="BA850" s="109"/>
      <c r="BB850" s="109"/>
      <c r="BC850" s="109"/>
      <c r="BD850" s="109"/>
      <c r="BE850" s="109"/>
      <c r="BF850" s="109"/>
      <c r="BG850" s="109"/>
      <c r="BH850" s="109"/>
      <c r="BI850" s="109"/>
      <c r="BJ850" s="109"/>
      <c r="BK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63"/>
      <c r="J851" s="109"/>
      <c r="K851" s="109"/>
      <c r="L851" s="109"/>
      <c r="M851" s="109"/>
      <c r="N851" s="109"/>
      <c r="O851" s="164"/>
      <c r="P851" s="165"/>
      <c r="Q851" s="165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  <c r="AO851" s="109"/>
      <c r="AP851" s="109"/>
      <c r="AQ851" s="109"/>
      <c r="AR851" s="109"/>
      <c r="AS851" s="109"/>
      <c r="AT851" s="109"/>
      <c r="AU851" s="109"/>
      <c r="AV851" s="109"/>
      <c r="AW851" s="109"/>
      <c r="AX851" s="109"/>
      <c r="AY851" s="109"/>
      <c r="AZ851" s="109"/>
      <c r="BA851" s="109"/>
      <c r="BB851" s="109"/>
      <c r="BC851" s="109"/>
      <c r="BD851" s="109"/>
      <c r="BE851" s="109"/>
      <c r="BF851" s="109"/>
      <c r="BG851" s="109"/>
      <c r="BH851" s="109"/>
      <c r="BI851" s="109"/>
      <c r="BJ851" s="109"/>
      <c r="BK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63"/>
      <c r="J852" s="109"/>
      <c r="K852" s="109"/>
      <c r="L852" s="109"/>
      <c r="M852" s="109"/>
      <c r="N852" s="109"/>
      <c r="O852" s="164"/>
      <c r="P852" s="165"/>
      <c r="Q852" s="165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  <c r="AO852" s="109"/>
      <c r="AP852" s="109"/>
      <c r="AQ852" s="109"/>
      <c r="AR852" s="109"/>
      <c r="AS852" s="109"/>
      <c r="AT852" s="109"/>
      <c r="AU852" s="109"/>
      <c r="AV852" s="109"/>
      <c r="AW852" s="109"/>
      <c r="AX852" s="109"/>
      <c r="AY852" s="109"/>
      <c r="AZ852" s="109"/>
      <c r="BA852" s="109"/>
      <c r="BB852" s="109"/>
      <c r="BC852" s="109"/>
      <c r="BD852" s="109"/>
      <c r="BE852" s="109"/>
      <c r="BF852" s="109"/>
      <c r="BG852" s="109"/>
      <c r="BH852" s="109"/>
      <c r="BI852" s="109"/>
      <c r="BJ852" s="109"/>
      <c r="BK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63"/>
      <c r="J853" s="109"/>
      <c r="K853" s="109"/>
      <c r="L853" s="109"/>
      <c r="M853" s="109"/>
      <c r="N853" s="109"/>
      <c r="O853" s="164"/>
      <c r="P853" s="165"/>
      <c r="Q853" s="165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  <c r="AO853" s="109"/>
      <c r="AP853" s="109"/>
      <c r="AQ853" s="109"/>
      <c r="AR853" s="109"/>
      <c r="AS853" s="109"/>
      <c r="AT853" s="109"/>
      <c r="AU853" s="109"/>
      <c r="AV853" s="109"/>
      <c r="AW853" s="109"/>
      <c r="AX853" s="109"/>
      <c r="AY853" s="109"/>
      <c r="AZ853" s="109"/>
      <c r="BA853" s="109"/>
      <c r="BB853" s="109"/>
      <c r="BC853" s="109"/>
      <c r="BD853" s="109"/>
      <c r="BE853" s="109"/>
      <c r="BF853" s="109"/>
      <c r="BG853" s="109"/>
      <c r="BH853" s="109"/>
      <c r="BI853" s="109"/>
      <c r="BJ853" s="109"/>
      <c r="BK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63"/>
      <c r="J854" s="109"/>
      <c r="K854" s="109"/>
      <c r="L854" s="109"/>
      <c r="M854" s="109"/>
      <c r="N854" s="109"/>
      <c r="O854" s="164"/>
      <c r="P854" s="165"/>
      <c r="Q854" s="165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  <c r="AO854" s="109"/>
      <c r="AP854" s="109"/>
      <c r="AQ854" s="109"/>
      <c r="AR854" s="109"/>
      <c r="AS854" s="109"/>
      <c r="AT854" s="109"/>
      <c r="AU854" s="109"/>
      <c r="AV854" s="109"/>
      <c r="AW854" s="109"/>
      <c r="AX854" s="109"/>
      <c r="AY854" s="109"/>
      <c r="AZ854" s="109"/>
      <c r="BA854" s="109"/>
      <c r="BB854" s="109"/>
      <c r="BC854" s="109"/>
      <c r="BD854" s="109"/>
      <c r="BE854" s="109"/>
      <c r="BF854" s="109"/>
      <c r="BG854" s="109"/>
      <c r="BH854" s="109"/>
      <c r="BI854" s="109"/>
      <c r="BJ854" s="109"/>
      <c r="BK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63"/>
      <c r="J855" s="109"/>
      <c r="K855" s="109"/>
      <c r="L855" s="109"/>
      <c r="M855" s="109"/>
      <c r="N855" s="109"/>
      <c r="O855" s="164"/>
      <c r="P855" s="165"/>
      <c r="Q855" s="165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  <c r="AO855" s="109"/>
      <c r="AP855" s="109"/>
      <c r="AQ855" s="109"/>
      <c r="AR855" s="109"/>
      <c r="AS855" s="109"/>
      <c r="AT855" s="109"/>
      <c r="AU855" s="109"/>
      <c r="AV855" s="109"/>
      <c r="AW855" s="109"/>
      <c r="AX855" s="109"/>
      <c r="AY855" s="109"/>
      <c r="AZ855" s="109"/>
      <c r="BA855" s="109"/>
      <c r="BB855" s="109"/>
      <c r="BC855" s="109"/>
      <c r="BD855" s="109"/>
      <c r="BE855" s="109"/>
      <c r="BF855" s="109"/>
      <c r="BG855" s="109"/>
      <c r="BH855" s="109"/>
      <c r="BI855" s="109"/>
      <c r="BJ855" s="109"/>
      <c r="BK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63"/>
      <c r="J856" s="109"/>
      <c r="K856" s="109"/>
      <c r="L856" s="109"/>
      <c r="M856" s="109"/>
      <c r="N856" s="109"/>
      <c r="O856" s="164"/>
      <c r="P856" s="165"/>
      <c r="Q856" s="165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  <c r="AO856" s="109"/>
      <c r="AP856" s="109"/>
      <c r="AQ856" s="109"/>
      <c r="AR856" s="109"/>
      <c r="AS856" s="109"/>
      <c r="AT856" s="109"/>
      <c r="AU856" s="109"/>
      <c r="AV856" s="109"/>
      <c r="AW856" s="109"/>
      <c r="AX856" s="109"/>
      <c r="AY856" s="109"/>
      <c r="AZ856" s="109"/>
      <c r="BA856" s="109"/>
      <c r="BB856" s="109"/>
      <c r="BC856" s="109"/>
      <c r="BD856" s="109"/>
      <c r="BE856" s="109"/>
      <c r="BF856" s="109"/>
      <c r="BG856" s="109"/>
      <c r="BH856" s="109"/>
      <c r="BI856" s="109"/>
      <c r="BJ856" s="109"/>
      <c r="BK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63"/>
      <c r="J857" s="109"/>
      <c r="K857" s="109"/>
      <c r="L857" s="109"/>
      <c r="M857" s="109"/>
      <c r="N857" s="109"/>
      <c r="O857" s="164"/>
      <c r="P857" s="165"/>
      <c r="Q857" s="165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  <c r="AO857" s="109"/>
      <c r="AP857" s="109"/>
      <c r="AQ857" s="109"/>
      <c r="AR857" s="109"/>
      <c r="AS857" s="109"/>
      <c r="AT857" s="109"/>
      <c r="AU857" s="109"/>
      <c r="AV857" s="109"/>
      <c r="AW857" s="109"/>
      <c r="AX857" s="109"/>
      <c r="AY857" s="109"/>
      <c r="AZ857" s="109"/>
      <c r="BA857" s="109"/>
      <c r="BB857" s="109"/>
      <c r="BC857" s="109"/>
      <c r="BD857" s="109"/>
      <c r="BE857" s="109"/>
      <c r="BF857" s="109"/>
      <c r="BG857" s="109"/>
      <c r="BH857" s="109"/>
      <c r="BI857" s="109"/>
      <c r="BJ857" s="109"/>
      <c r="BK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63"/>
      <c r="J858" s="109"/>
      <c r="K858" s="109"/>
      <c r="L858" s="109"/>
      <c r="M858" s="109"/>
      <c r="N858" s="109"/>
      <c r="O858" s="164"/>
      <c r="P858" s="165"/>
      <c r="Q858" s="165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  <c r="AO858" s="109"/>
      <c r="AP858" s="109"/>
      <c r="AQ858" s="109"/>
      <c r="AR858" s="109"/>
      <c r="AS858" s="109"/>
      <c r="AT858" s="109"/>
      <c r="AU858" s="109"/>
      <c r="AV858" s="109"/>
      <c r="AW858" s="109"/>
      <c r="AX858" s="109"/>
      <c r="AY858" s="109"/>
      <c r="AZ858" s="109"/>
      <c r="BA858" s="109"/>
      <c r="BB858" s="109"/>
      <c r="BC858" s="109"/>
      <c r="BD858" s="109"/>
      <c r="BE858" s="109"/>
      <c r="BF858" s="109"/>
      <c r="BG858" s="109"/>
      <c r="BH858" s="109"/>
      <c r="BI858" s="109"/>
      <c r="BJ858" s="109"/>
      <c r="BK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63"/>
      <c r="J859" s="109"/>
      <c r="K859" s="109"/>
      <c r="L859" s="109"/>
      <c r="M859" s="109"/>
      <c r="N859" s="109"/>
      <c r="O859" s="164"/>
      <c r="P859" s="165"/>
      <c r="Q859" s="165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  <c r="AO859" s="109"/>
      <c r="AP859" s="109"/>
      <c r="AQ859" s="109"/>
      <c r="AR859" s="109"/>
      <c r="AS859" s="109"/>
      <c r="AT859" s="109"/>
      <c r="AU859" s="109"/>
      <c r="AV859" s="109"/>
      <c r="AW859" s="109"/>
      <c r="AX859" s="109"/>
      <c r="AY859" s="109"/>
      <c r="AZ859" s="109"/>
      <c r="BA859" s="109"/>
      <c r="BB859" s="109"/>
      <c r="BC859" s="109"/>
      <c r="BD859" s="109"/>
      <c r="BE859" s="109"/>
      <c r="BF859" s="109"/>
      <c r="BG859" s="109"/>
      <c r="BH859" s="109"/>
      <c r="BI859" s="109"/>
      <c r="BJ859" s="109"/>
      <c r="BK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63"/>
      <c r="J860" s="109"/>
      <c r="K860" s="109"/>
      <c r="L860" s="109"/>
      <c r="M860" s="109"/>
      <c r="N860" s="109"/>
      <c r="O860" s="164"/>
      <c r="P860" s="165"/>
      <c r="Q860" s="165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  <c r="AO860" s="109"/>
      <c r="AP860" s="109"/>
      <c r="AQ860" s="109"/>
      <c r="AR860" s="109"/>
      <c r="AS860" s="109"/>
      <c r="AT860" s="109"/>
      <c r="AU860" s="109"/>
      <c r="AV860" s="109"/>
      <c r="AW860" s="109"/>
      <c r="AX860" s="109"/>
      <c r="AY860" s="109"/>
      <c r="AZ860" s="109"/>
      <c r="BA860" s="109"/>
      <c r="BB860" s="109"/>
      <c r="BC860" s="109"/>
      <c r="BD860" s="109"/>
      <c r="BE860" s="109"/>
      <c r="BF860" s="109"/>
      <c r="BG860" s="109"/>
      <c r="BH860" s="109"/>
      <c r="BI860" s="109"/>
      <c r="BJ860" s="109"/>
      <c r="BK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63"/>
      <c r="J861" s="109"/>
      <c r="K861" s="109"/>
      <c r="L861" s="109"/>
      <c r="M861" s="109"/>
      <c r="N861" s="109"/>
      <c r="O861" s="164"/>
      <c r="P861" s="165"/>
      <c r="Q861" s="165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  <c r="AO861" s="109"/>
      <c r="AP861" s="109"/>
      <c r="AQ861" s="109"/>
      <c r="AR861" s="109"/>
      <c r="AS861" s="109"/>
      <c r="AT861" s="109"/>
      <c r="AU861" s="109"/>
      <c r="AV861" s="109"/>
      <c r="AW861" s="109"/>
      <c r="AX861" s="109"/>
      <c r="AY861" s="109"/>
      <c r="AZ861" s="109"/>
      <c r="BA861" s="109"/>
      <c r="BB861" s="109"/>
      <c r="BC861" s="109"/>
      <c r="BD861" s="109"/>
      <c r="BE861" s="109"/>
      <c r="BF861" s="109"/>
      <c r="BG861" s="109"/>
      <c r="BH861" s="109"/>
      <c r="BI861" s="109"/>
      <c r="BJ861" s="109"/>
      <c r="BK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63"/>
      <c r="J862" s="109"/>
      <c r="K862" s="109"/>
      <c r="L862" s="109"/>
      <c r="M862" s="109"/>
      <c r="N862" s="109"/>
      <c r="O862" s="164"/>
      <c r="P862" s="165"/>
      <c r="Q862" s="165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  <c r="AO862" s="109"/>
      <c r="AP862" s="109"/>
      <c r="AQ862" s="109"/>
      <c r="AR862" s="109"/>
      <c r="AS862" s="109"/>
      <c r="AT862" s="109"/>
      <c r="AU862" s="109"/>
      <c r="AV862" s="109"/>
      <c r="AW862" s="109"/>
      <c r="AX862" s="109"/>
      <c r="AY862" s="109"/>
      <c r="AZ862" s="109"/>
      <c r="BA862" s="109"/>
      <c r="BB862" s="109"/>
      <c r="BC862" s="109"/>
      <c r="BD862" s="109"/>
      <c r="BE862" s="109"/>
      <c r="BF862" s="109"/>
      <c r="BG862" s="109"/>
      <c r="BH862" s="109"/>
      <c r="BI862" s="109"/>
      <c r="BJ862" s="109"/>
      <c r="BK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63"/>
      <c r="J863" s="109"/>
      <c r="K863" s="109"/>
      <c r="L863" s="109"/>
      <c r="M863" s="109"/>
      <c r="N863" s="109"/>
      <c r="O863" s="164"/>
      <c r="P863" s="165"/>
      <c r="Q863" s="165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  <c r="AO863" s="109"/>
      <c r="AP863" s="109"/>
      <c r="AQ863" s="109"/>
      <c r="AR863" s="109"/>
      <c r="AS863" s="109"/>
      <c r="AT863" s="109"/>
      <c r="AU863" s="109"/>
      <c r="AV863" s="109"/>
      <c r="AW863" s="109"/>
      <c r="AX863" s="109"/>
      <c r="AY863" s="109"/>
      <c r="AZ863" s="109"/>
      <c r="BA863" s="109"/>
      <c r="BB863" s="109"/>
      <c r="BC863" s="109"/>
      <c r="BD863" s="109"/>
      <c r="BE863" s="109"/>
      <c r="BF863" s="109"/>
      <c r="BG863" s="109"/>
      <c r="BH863" s="109"/>
      <c r="BI863" s="109"/>
      <c r="BJ863" s="109"/>
      <c r="BK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63"/>
      <c r="J864" s="109"/>
      <c r="K864" s="109"/>
      <c r="L864" s="109"/>
      <c r="M864" s="109"/>
      <c r="N864" s="109"/>
      <c r="O864" s="164"/>
      <c r="P864" s="165"/>
      <c r="Q864" s="165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  <c r="AO864" s="109"/>
      <c r="AP864" s="109"/>
      <c r="AQ864" s="109"/>
      <c r="AR864" s="109"/>
      <c r="AS864" s="109"/>
      <c r="AT864" s="109"/>
      <c r="AU864" s="109"/>
      <c r="AV864" s="109"/>
      <c r="AW864" s="109"/>
      <c r="AX864" s="109"/>
      <c r="AY864" s="109"/>
      <c r="AZ864" s="109"/>
      <c r="BA864" s="109"/>
      <c r="BB864" s="109"/>
      <c r="BC864" s="109"/>
      <c r="BD864" s="109"/>
      <c r="BE864" s="109"/>
      <c r="BF864" s="109"/>
      <c r="BG864" s="109"/>
      <c r="BH864" s="109"/>
      <c r="BI864" s="109"/>
      <c r="BJ864" s="109"/>
      <c r="BK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63"/>
      <c r="J865" s="109"/>
      <c r="K865" s="109"/>
      <c r="L865" s="109"/>
      <c r="M865" s="109"/>
      <c r="N865" s="109"/>
      <c r="O865" s="164"/>
      <c r="P865" s="165"/>
      <c r="Q865" s="165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  <c r="AO865" s="109"/>
      <c r="AP865" s="109"/>
      <c r="AQ865" s="109"/>
      <c r="AR865" s="109"/>
      <c r="AS865" s="109"/>
      <c r="AT865" s="109"/>
      <c r="AU865" s="109"/>
      <c r="AV865" s="109"/>
      <c r="AW865" s="109"/>
      <c r="AX865" s="109"/>
      <c r="AY865" s="109"/>
      <c r="AZ865" s="109"/>
      <c r="BA865" s="109"/>
      <c r="BB865" s="109"/>
      <c r="BC865" s="109"/>
      <c r="BD865" s="109"/>
      <c r="BE865" s="109"/>
      <c r="BF865" s="109"/>
      <c r="BG865" s="109"/>
      <c r="BH865" s="109"/>
      <c r="BI865" s="109"/>
      <c r="BJ865" s="109"/>
      <c r="BK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63"/>
      <c r="J866" s="109"/>
      <c r="K866" s="109"/>
      <c r="L866" s="109"/>
      <c r="M866" s="109"/>
      <c r="N866" s="109"/>
      <c r="O866" s="164"/>
      <c r="P866" s="165"/>
      <c r="Q866" s="165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  <c r="AO866" s="109"/>
      <c r="AP866" s="109"/>
      <c r="AQ866" s="109"/>
      <c r="AR866" s="109"/>
      <c r="AS866" s="109"/>
      <c r="AT866" s="109"/>
      <c r="AU866" s="109"/>
      <c r="AV866" s="109"/>
      <c r="AW866" s="109"/>
      <c r="AX866" s="109"/>
      <c r="AY866" s="109"/>
      <c r="AZ866" s="109"/>
      <c r="BA866" s="109"/>
      <c r="BB866" s="109"/>
      <c r="BC866" s="109"/>
      <c r="BD866" s="109"/>
      <c r="BE866" s="109"/>
      <c r="BF866" s="109"/>
      <c r="BG866" s="109"/>
      <c r="BH866" s="109"/>
      <c r="BI866" s="109"/>
      <c r="BJ866" s="109"/>
      <c r="BK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63"/>
      <c r="J867" s="109"/>
      <c r="K867" s="109"/>
      <c r="L867" s="109"/>
      <c r="M867" s="109"/>
      <c r="N867" s="109"/>
      <c r="O867" s="164"/>
      <c r="P867" s="165"/>
      <c r="Q867" s="165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  <c r="AO867" s="109"/>
      <c r="AP867" s="109"/>
      <c r="AQ867" s="109"/>
      <c r="AR867" s="109"/>
      <c r="AS867" s="109"/>
      <c r="AT867" s="109"/>
      <c r="AU867" s="109"/>
      <c r="AV867" s="109"/>
      <c r="AW867" s="109"/>
      <c r="AX867" s="109"/>
      <c r="AY867" s="109"/>
      <c r="AZ867" s="109"/>
      <c r="BA867" s="109"/>
      <c r="BB867" s="109"/>
      <c r="BC867" s="109"/>
      <c r="BD867" s="109"/>
      <c r="BE867" s="109"/>
      <c r="BF867" s="109"/>
      <c r="BG867" s="109"/>
      <c r="BH867" s="109"/>
      <c r="BI867" s="109"/>
      <c r="BJ867" s="109"/>
      <c r="BK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63"/>
      <c r="J868" s="109"/>
      <c r="K868" s="109"/>
      <c r="L868" s="109"/>
      <c r="M868" s="109"/>
      <c r="N868" s="109"/>
      <c r="O868" s="164"/>
      <c r="P868" s="165"/>
      <c r="Q868" s="165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  <c r="AO868" s="109"/>
      <c r="AP868" s="109"/>
      <c r="AQ868" s="109"/>
      <c r="AR868" s="109"/>
      <c r="AS868" s="109"/>
      <c r="AT868" s="109"/>
      <c r="AU868" s="109"/>
      <c r="AV868" s="109"/>
      <c r="AW868" s="109"/>
      <c r="AX868" s="109"/>
      <c r="AY868" s="109"/>
      <c r="AZ868" s="109"/>
      <c r="BA868" s="109"/>
      <c r="BB868" s="109"/>
      <c r="BC868" s="109"/>
      <c r="BD868" s="109"/>
      <c r="BE868" s="109"/>
      <c r="BF868" s="109"/>
      <c r="BG868" s="109"/>
      <c r="BH868" s="109"/>
      <c r="BI868" s="109"/>
      <c r="BJ868" s="109"/>
      <c r="BK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63"/>
      <c r="J869" s="109"/>
      <c r="K869" s="109"/>
      <c r="L869" s="109"/>
      <c r="M869" s="109"/>
      <c r="N869" s="109"/>
      <c r="O869" s="164"/>
      <c r="P869" s="165"/>
      <c r="Q869" s="165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  <c r="AO869" s="109"/>
      <c r="AP869" s="109"/>
      <c r="AQ869" s="109"/>
      <c r="AR869" s="109"/>
      <c r="AS869" s="109"/>
      <c r="AT869" s="109"/>
      <c r="AU869" s="109"/>
      <c r="AV869" s="109"/>
      <c r="AW869" s="109"/>
      <c r="AX869" s="109"/>
      <c r="AY869" s="109"/>
      <c r="AZ869" s="109"/>
      <c r="BA869" s="109"/>
      <c r="BB869" s="109"/>
      <c r="BC869" s="109"/>
      <c r="BD869" s="109"/>
      <c r="BE869" s="109"/>
      <c r="BF869" s="109"/>
      <c r="BG869" s="109"/>
      <c r="BH869" s="109"/>
      <c r="BI869" s="109"/>
      <c r="BJ869" s="109"/>
      <c r="BK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63"/>
      <c r="J870" s="109"/>
      <c r="K870" s="109"/>
      <c r="L870" s="109"/>
      <c r="M870" s="109"/>
      <c r="N870" s="109"/>
      <c r="O870" s="164"/>
      <c r="P870" s="165"/>
      <c r="Q870" s="165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  <c r="AO870" s="109"/>
      <c r="AP870" s="109"/>
      <c r="AQ870" s="109"/>
      <c r="AR870" s="109"/>
      <c r="AS870" s="109"/>
      <c r="AT870" s="109"/>
      <c r="AU870" s="109"/>
      <c r="AV870" s="109"/>
      <c r="AW870" s="109"/>
      <c r="AX870" s="109"/>
      <c r="AY870" s="109"/>
      <c r="AZ870" s="109"/>
      <c r="BA870" s="109"/>
      <c r="BB870" s="109"/>
      <c r="BC870" s="109"/>
      <c r="BD870" s="109"/>
      <c r="BE870" s="109"/>
      <c r="BF870" s="109"/>
      <c r="BG870" s="109"/>
      <c r="BH870" s="109"/>
      <c r="BI870" s="109"/>
      <c r="BJ870" s="109"/>
      <c r="BK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63"/>
      <c r="J871" s="109"/>
      <c r="K871" s="109"/>
      <c r="L871" s="109"/>
      <c r="M871" s="109"/>
      <c r="N871" s="109"/>
      <c r="O871" s="164"/>
      <c r="P871" s="165"/>
      <c r="Q871" s="165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  <c r="AO871" s="109"/>
      <c r="AP871" s="109"/>
      <c r="AQ871" s="109"/>
      <c r="AR871" s="109"/>
      <c r="AS871" s="109"/>
      <c r="AT871" s="109"/>
      <c r="AU871" s="109"/>
      <c r="AV871" s="109"/>
      <c r="AW871" s="109"/>
      <c r="AX871" s="109"/>
      <c r="AY871" s="109"/>
      <c r="AZ871" s="109"/>
      <c r="BA871" s="109"/>
      <c r="BB871" s="109"/>
      <c r="BC871" s="109"/>
      <c r="BD871" s="109"/>
      <c r="BE871" s="109"/>
      <c r="BF871" s="109"/>
      <c r="BG871" s="109"/>
      <c r="BH871" s="109"/>
      <c r="BI871" s="109"/>
      <c r="BJ871" s="109"/>
      <c r="BK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63"/>
      <c r="J872" s="109"/>
      <c r="K872" s="109"/>
      <c r="L872" s="109"/>
      <c r="M872" s="109"/>
      <c r="N872" s="109"/>
      <c r="O872" s="164"/>
      <c r="P872" s="165"/>
      <c r="Q872" s="165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  <c r="AO872" s="109"/>
      <c r="AP872" s="109"/>
      <c r="AQ872" s="109"/>
      <c r="AR872" s="109"/>
      <c r="AS872" s="109"/>
      <c r="AT872" s="109"/>
      <c r="AU872" s="109"/>
      <c r="AV872" s="109"/>
      <c r="AW872" s="109"/>
      <c r="AX872" s="109"/>
      <c r="AY872" s="109"/>
      <c r="AZ872" s="109"/>
      <c r="BA872" s="109"/>
      <c r="BB872" s="109"/>
      <c r="BC872" s="109"/>
      <c r="BD872" s="109"/>
      <c r="BE872" s="109"/>
      <c r="BF872" s="109"/>
      <c r="BG872" s="109"/>
      <c r="BH872" s="109"/>
      <c r="BI872" s="109"/>
      <c r="BJ872" s="109"/>
      <c r="BK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63"/>
      <c r="J873" s="109"/>
      <c r="K873" s="109"/>
      <c r="L873" s="109"/>
      <c r="M873" s="109"/>
      <c r="N873" s="109"/>
      <c r="O873" s="164"/>
      <c r="P873" s="165"/>
      <c r="Q873" s="165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  <c r="AO873" s="109"/>
      <c r="AP873" s="109"/>
      <c r="AQ873" s="109"/>
      <c r="AR873" s="109"/>
      <c r="AS873" s="109"/>
      <c r="AT873" s="109"/>
      <c r="AU873" s="109"/>
      <c r="AV873" s="109"/>
      <c r="AW873" s="109"/>
      <c r="AX873" s="109"/>
      <c r="AY873" s="109"/>
      <c r="AZ873" s="109"/>
      <c r="BA873" s="109"/>
      <c r="BB873" s="109"/>
      <c r="BC873" s="109"/>
      <c r="BD873" s="109"/>
      <c r="BE873" s="109"/>
      <c r="BF873" s="109"/>
      <c r="BG873" s="109"/>
      <c r="BH873" s="109"/>
      <c r="BI873" s="109"/>
      <c r="BJ873" s="109"/>
      <c r="BK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63"/>
      <c r="J874" s="109"/>
      <c r="K874" s="109"/>
      <c r="L874" s="109"/>
      <c r="M874" s="109"/>
      <c r="N874" s="109"/>
      <c r="O874" s="164"/>
      <c r="P874" s="165"/>
      <c r="Q874" s="165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  <c r="AO874" s="109"/>
      <c r="AP874" s="109"/>
      <c r="AQ874" s="109"/>
      <c r="AR874" s="109"/>
      <c r="AS874" s="109"/>
      <c r="AT874" s="109"/>
      <c r="AU874" s="109"/>
      <c r="AV874" s="109"/>
      <c r="AW874" s="109"/>
      <c r="AX874" s="109"/>
      <c r="AY874" s="109"/>
      <c r="AZ874" s="109"/>
      <c r="BA874" s="109"/>
      <c r="BB874" s="109"/>
      <c r="BC874" s="109"/>
      <c r="BD874" s="109"/>
      <c r="BE874" s="109"/>
      <c r="BF874" s="109"/>
      <c r="BG874" s="109"/>
      <c r="BH874" s="109"/>
      <c r="BI874" s="109"/>
      <c r="BJ874" s="109"/>
      <c r="BK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63"/>
      <c r="J875" s="109"/>
      <c r="K875" s="109"/>
      <c r="L875" s="109"/>
      <c r="M875" s="109"/>
      <c r="N875" s="109"/>
      <c r="O875" s="164"/>
      <c r="P875" s="165"/>
      <c r="Q875" s="165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  <c r="AO875" s="109"/>
      <c r="AP875" s="109"/>
      <c r="AQ875" s="109"/>
      <c r="AR875" s="109"/>
      <c r="AS875" s="109"/>
      <c r="AT875" s="109"/>
      <c r="AU875" s="109"/>
      <c r="AV875" s="109"/>
      <c r="AW875" s="109"/>
      <c r="AX875" s="109"/>
      <c r="AY875" s="109"/>
      <c r="AZ875" s="109"/>
      <c r="BA875" s="109"/>
      <c r="BB875" s="109"/>
      <c r="BC875" s="109"/>
      <c r="BD875" s="109"/>
      <c r="BE875" s="109"/>
      <c r="BF875" s="109"/>
      <c r="BG875" s="109"/>
      <c r="BH875" s="109"/>
      <c r="BI875" s="109"/>
      <c r="BJ875" s="109"/>
      <c r="BK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63"/>
      <c r="J876" s="109"/>
      <c r="K876" s="109"/>
      <c r="L876" s="109"/>
      <c r="M876" s="109"/>
      <c r="N876" s="109"/>
      <c r="O876" s="164"/>
      <c r="P876" s="165"/>
      <c r="Q876" s="165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  <c r="AO876" s="109"/>
      <c r="AP876" s="109"/>
      <c r="AQ876" s="109"/>
      <c r="AR876" s="109"/>
      <c r="AS876" s="109"/>
      <c r="AT876" s="109"/>
      <c r="AU876" s="109"/>
      <c r="AV876" s="109"/>
      <c r="AW876" s="109"/>
      <c r="AX876" s="109"/>
      <c r="AY876" s="109"/>
      <c r="AZ876" s="109"/>
      <c r="BA876" s="109"/>
      <c r="BB876" s="109"/>
      <c r="BC876" s="109"/>
      <c r="BD876" s="109"/>
      <c r="BE876" s="109"/>
      <c r="BF876" s="109"/>
      <c r="BG876" s="109"/>
      <c r="BH876" s="109"/>
      <c r="BI876" s="109"/>
      <c r="BJ876" s="109"/>
      <c r="BK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63"/>
      <c r="J877" s="109"/>
      <c r="K877" s="109"/>
      <c r="L877" s="109"/>
      <c r="M877" s="109"/>
      <c r="N877" s="109"/>
      <c r="O877" s="164"/>
      <c r="P877" s="165"/>
      <c r="Q877" s="165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  <c r="AO877" s="109"/>
      <c r="AP877" s="109"/>
      <c r="AQ877" s="109"/>
      <c r="AR877" s="109"/>
      <c r="AS877" s="109"/>
      <c r="AT877" s="109"/>
      <c r="AU877" s="109"/>
      <c r="AV877" s="109"/>
      <c r="AW877" s="109"/>
      <c r="AX877" s="109"/>
      <c r="AY877" s="109"/>
      <c r="AZ877" s="109"/>
      <c r="BA877" s="109"/>
      <c r="BB877" s="109"/>
      <c r="BC877" s="109"/>
      <c r="BD877" s="109"/>
      <c r="BE877" s="109"/>
      <c r="BF877" s="109"/>
      <c r="BG877" s="109"/>
      <c r="BH877" s="109"/>
      <c r="BI877" s="109"/>
      <c r="BJ877" s="109"/>
      <c r="BK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63"/>
      <c r="J878" s="109"/>
      <c r="K878" s="109"/>
      <c r="L878" s="109"/>
      <c r="M878" s="109"/>
      <c r="N878" s="109"/>
      <c r="O878" s="164"/>
      <c r="P878" s="165"/>
      <c r="Q878" s="165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  <c r="AO878" s="109"/>
      <c r="AP878" s="109"/>
      <c r="AQ878" s="109"/>
      <c r="AR878" s="109"/>
      <c r="AS878" s="109"/>
      <c r="AT878" s="109"/>
      <c r="AU878" s="109"/>
      <c r="AV878" s="109"/>
      <c r="AW878" s="109"/>
      <c r="AX878" s="109"/>
      <c r="AY878" s="109"/>
      <c r="AZ878" s="109"/>
      <c r="BA878" s="109"/>
      <c r="BB878" s="109"/>
      <c r="BC878" s="109"/>
      <c r="BD878" s="109"/>
      <c r="BE878" s="109"/>
      <c r="BF878" s="109"/>
      <c r="BG878" s="109"/>
      <c r="BH878" s="109"/>
      <c r="BI878" s="109"/>
      <c r="BJ878" s="109"/>
      <c r="BK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63"/>
      <c r="J879" s="109"/>
      <c r="K879" s="109"/>
      <c r="L879" s="109"/>
      <c r="M879" s="109"/>
      <c r="N879" s="109"/>
      <c r="O879" s="164"/>
      <c r="P879" s="165"/>
      <c r="Q879" s="165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  <c r="AO879" s="109"/>
      <c r="AP879" s="109"/>
      <c r="AQ879" s="109"/>
      <c r="AR879" s="109"/>
      <c r="AS879" s="109"/>
      <c r="AT879" s="109"/>
      <c r="AU879" s="109"/>
      <c r="AV879" s="109"/>
      <c r="AW879" s="109"/>
      <c r="AX879" s="109"/>
      <c r="AY879" s="109"/>
      <c r="AZ879" s="109"/>
      <c r="BA879" s="109"/>
      <c r="BB879" s="109"/>
      <c r="BC879" s="109"/>
      <c r="BD879" s="109"/>
      <c r="BE879" s="109"/>
      <c r="BF879" s="109"/>
      <c r="BG879" s="109"/>
      <c r="BH879" s="109"/>
      <c r="BI879" s="109"/>
      <c r="BJ879" s="109"/>
      <c r="BK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63"/>
      <c r="J880" s="109"/>
      <c r="K880" s="109"/>
      <c r="L880" s="109"/>
      <c r="M880" s="109"/>
      <c r="N880" s="109"/>
      <c r="O880" s="164"/>
      <c r="P880" s="165"/>
      <c r="Q880" s="165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  <c r="AO880" s="109"/>
      <c r="AP880" s="109"/>
      <c r="AQ880" s="109"/>
      <c r="AR880" s="109"/>
      <c r="AS880" s="109"/>
      <c r="AT880" s="109"/>
      <c r="AU880" s="109"/>
      <c r="AV880" s="109"/>
      <c r="AW880" s="109"/>
      <c r="AX880" s="109"/>
      <c r="AY880" s="109"/>
      <c r="AZ880" s="109"/>
      <c r="BA880" s="109"/>
      <c r="BB880" s="109"/>
      <c r="BC880" s="109"/>
      <c r="BD880" s="109"/>
      <c r="BE880" s="109"/>
      <c r="BF880" s="109"/>
      <c r="BG880" s="109"/>
      <c r="BH880" s="109"/>
      <c r="BI880" s="109"/>
      <c r="BJ880" s="109"/>
      <c r="BK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63"/>
      <c r="J881" s="109"/>
      <c r="K881" s="109"/>
      <c r="L881" s="109"/>
      <c r="M881" s="109"/>
      <c r="N881" s="109"/>
      <c r="O881" s="164"/>
      <c r="P881" s="165"/>
      <c r="Q881" s="165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  <c r="AO881" s="109"/>
      <c r="AP881" s="109"/>
      <c r="AQ881" s="109"/>
      <c r="AR881" s="109"/>
      <c r="AS881" s="109"/>
      <c r="AT881" s="109"/>
      <c r="AU881" s="109"/>
      <c r="AV881" s="109"/>
      <c r="AW881" s="109"/>
      <c r="AX881" s="109"/>
      <c r="AY881" s="109"/>
      <c r="AZ881" s="109"/>
      <c r="BA881" s="109"/>
      <c r="BB881" s="109"/>
      <c r="BC881" s="109"/>
      <c r="BD881" s="109"/>
      <c r="BE881" s="109"/>
      <c r="BF881" s="109"/>
      <c r="BG881" s="109"/>
      <c r="BH881" s="109"/>
      <c r="BI881" s="109"/>
      <c r="BJ881" s="109"/>
      <c r="BK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63"/>
      <c r="J882" s="109"/>
      <c r="K882" s="109"/>
      <c r="L882" s="109"/>
      <c r="M882" s="109"/>
      <c r="N882" s="109"/>
      <c r="O882" s="164"/>
      <c r="P882" s="165"/>
      <c r="Q882" s="165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09"/>
      <c r="BE882" s="109"/>
      <c r="BF882" s="109"/>
      <c r="BG882" s="109"/>
      <c r="BH882" s="109"/>
      <c r="BI882" s="109"/>
      <c r="BJ882" s="109"/>
      <c r="BK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63"/>
      <c r="J883" s="109"/>
      <c r="K883" s="109"/>
      <c r="L883" s="109"/>
      <c r="M883" s="109"/>
      <c r="N883" s="109"/>
      <c r="O883" s="164"/>
      <c r="P883" s="165"/>
      <c r="Q883" s="165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109"/>
      <c r="BB883" s="109"/>
      <c r="BC883" s="109"/>
      <c r="BD883" s="109"/>
      <c r="BE883" s="109"/>
      <c r="BF883" s="109"/>
      <c r="BG883" s="109"/>
      <c r="BH883" s="109"/>
      <c r="BI883" s="109"/>
      <c r="BJ883" s="109"/>
      <c r="BK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63"/>
      <c r="J884" s="109"/>
      <c r="K884" s="109"/>
      <c r="L884" s="109"/>
      <c r="M884" s="109"/>
      <c r="N884" s="109"/>
      <c r="O884" s="164"/>
      <c r="P884" s="165"/>
      <c r="Q884" s="165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109"/>
      <c r="BB884" s="109"/>
      <c r="BC884" s="109"/>
      <c r="BD884" s="109"/>
      <c r="BE884" s="109"/>
      <c r="BF884" s="109"/>
      <c r="BG884" s="109"/>
      <c r="BH884" s="109"/>
      <c r="BI884" s="109"/>
      <c r="BJ884" s="109"/>
      <c r="BK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63"/>
      <c r="J885" s="109"/>
      <c r="K885" s="109"/>
      <c r="L885" s="109"/>
      <c r="M885" s="109"/>
      <c r="N885" s="109"/>
      <c r="O885" s="164"/>
      <c r="P885" s="165"/>
      <c r="Q885" s="165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109"/>
      <c r="BB885" s="109"/>
      <c r="BC885" s="109"/>
      <c r="BD885" s="109"/>
      <c r="BE885" s="109"/>
      <c r="BF885" s="109"/>
      <c r="BG885" s="109"/>
      <c r="BH885" s="109"/>
      <c r="BI885" s="109"/>
      <c r="BJ885" s="109"/>
      <c r="BK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63"/>
      <c r="J886" s="109"/>
      <c r="K886" s="109"/>
      <c r="L886" s="109"/>
      <c r="M886" s="109"/>
      <c r="N886" s="109"/>
      <c r="O886" s="164"/>
      <c r="P886" s="165"/>
      <c r="Q886" s="165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09"/>
      <c r="BB886" s="109"/>
      <c r="BC886" s="109"/>
      <c r="BD886" s="109"/>
      <c r="BE886" s="109"/>
      <c r="BF886" s="109"/>
      <c r="BG886" s="109"/>
      <c r="BH886" s="109"/>
      <c r="BI886" s="109"/>
      <c r="BJ886" s="109"/>
      <c r="BK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63"/>
      <c r="J887" s="109"/>
      <c r="K887" s="109"/>
      <c r="L887" s="109"/>
      <c r="M887" s="109"/>
      <c r="N887" s="109"/>
      <c r="O887" s="164"/>
      <c r="P887" s="165"/>
      <c r="Q887" s="165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09"/>
      <c r="BB887" s="109"/>
      <c r="BC887" s="109"/>
      <c r="BD887" s="109"/>
      <c r="BE887" s="109"/>
      <c r="BF887" s="109"/>
      <c r="BG887" s="109"/>
      <c r="BH887" s="109"/>
      <c r="BI887" s="109"/>
      <c r="BJ887" s="109"/>
      <c r="BK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63"/>
      <c r="J888" s="109"/>
      <c r="K888" s="109"/>
      <c r="L888" s="109"/>
      <c r="M888" s="109"/>
      <c r="N888" s="109"/>
      <c r="O888" s="164"/>
      <c r="P888" s="165"/>
      <c r="Q888" s="165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  <c r="AO888" s="109"/>
      <c r="AP888" s="109"/>
      <c r="AQ888" s="109"/>
      <c r="AR888" s="109"/>
      <c r="AS888" s="109"/>
      <c r="AT888" s="109"/>
      <c r="AU888" s="109"/>
      <c r="AV888" s="109"/>
      <c r="AW888" s="109"/>
      <c r="AX888" s="109"/>
      <c r="AY888" s="109"/>
      <c r="AZ888" s="109"/>
      <c r="BA888" s="109"/>
      <c r="BB888" s="109"/>
      <c r="BC888" s="109"/>
      <c r="BD888" s="109"/>
      <c r="BE888" s="109"/>
      <c r="BF888" s="109"/>
      <c r="BG888" s="109"/>
      <c r="BH888" s="109"/>
      <c r="BI888" s="109"/>
      <c r="BJ888" s="109"/>
      <c r="BK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63"/>
      <c r="J889" s="109"/>
      <c r="K889" s="109"/>
      <c r="L889" s="109"/>
      <c r="M889" s="109"/>
      <c r="N889" s="109"/>
      <c r="O889" s="164"/>
      <c r="P889" s="165"/>
      <c r="Q889" s="165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  <c r="AO889" s="109"/>
      <c r="AP889" s="109"/>
      <c r="AQ889" s="109"/>
      <c r="AR889" s="109"/>
      <c r="AS889" s="109"/>
      <c r="AT889" s="109"/>
      <c r="AU889" s="109"/>
      <c r="AV889" s="109"/>
      <c r="AW889" s="109"/>
      <c r="AX889" s="109"/>
      <c r="AY889" s="109"/>
      <c r="AZ889" s="109"/>
      <c r="BA889" s="109"/>
      <c r="BB889" s="109"/>
      <c r="BC889" s="109"/>
      <c r="BD889" s="109"/>
      <c r="BE889" s="109"/>
      <c r="BF889" s="109"/>
      <c r="BG889" s="109"/>
      <c r="BH889" s="109"/>
      <c r="BI889" s="109"/>
      <c r="BJ889" s="109"/>
      <c r="BK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63"/>
      <c r="J890" s="109"/>
      <c r="K890" s="109"/>
      <c r="L890" s="109"/>
      <c r="M890" s="109"/>
      <c r="N890" s="109"/>
      <c r="O890" s="164"/>
      <c r="P890" s="165"/>
      <c r="Q890" s="165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  <c r="AO890" s="109"/>
      <c r="AP890" s="109"/>
      <c r="AQ890" s="109"/>
      <c r="AR890" s="109"/>
      <c r="AS890" s="109"/>
      <c r="AT890" s="109"/>
      <c r="AU890" s="109"/>
      <c r="AV890" s="109"/>
      <c r="AW890" s="109"/>
      <c r="AX890" s="109"/>
      <c r="AY890" s="109"/>
      <c r="AZ890" s="109"/>
      <c r="BA890" s="109"/>
      <c r="BB890" s="109"/>
      <c r="BC890" s="109"/>
      <c r="BD890" s="109"/>
      <c r="BE890" s="109"/>
      <c r="BF890" s="109"/>
      <c r="BG890" s="109"/>
      <c r="BH890" s="109"/>
      <c r="BI890" s="109"/>
      <c r="BJ890" s="109"/>
      <c r="BK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63"/>
      <c r="J891" s="109"/>
      <c r="K891" s="109"/>
      <c r="L891" s="109"/>
      <c r="M891" s="109"/>
      <c r="N891" s="109"/>
      <c r="O891" s="164"/>
      <c r="P891" s="165"/>
      <c r="Q891" s="165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  <c r="AO891" s="109"/>
      <c r="AP891" s="109"/>
      <c r="AQ891" s="109"/>
      <c r="AR891" s="109"/>
      <c r="AS891" s="109"/>
      <c r="AT891" s="109"/>
      <c r="AU891" s="109"/>
      <c r="AV891" s="109"/>
      <c r="AW891" s="109"/>
      <c r="AX891" s="109"/>
      <c r="AY891" s="109"/>
      <c r="AZ891" s="109"/>
      <c r="BA891" s="109"/>
      <c r="BB891" s="109"/>
      <c r="BC891" s="109"/>
      <c r="BD891" s="109"/>
      <c r="BE891" s="109"/>
      <c r="BF891" s="109"/>
      <c r="BG891" s="109"/>
      <c r="BH891" s="109"/>
      <c r="BI891" s="109"/>
      <c r="BJ891" s="109"/>
      <c r="BK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63"/>
      <c r="J892" s="109"/>
      <c r="K892" s="109"/>
      <c r="L892" s="109"/>
      <c r="M892" s="109"/>
      <c r="N892" s="109"/>
      <c r="O892" s="164"/>
      <c r="P892" s="165"/>
      <c r="Q892" s="165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  <c r="AO892" s="109"/>
      <c r="AP892" s="109"/>
      <c r="AQ892" s="109"/>
      <c r="AR892" s="109"/>
      <c r="AS892" s="109"/>
      <c r="AT892" s="109"/>
      <c r="AU892" s="109"/>
      <c r="AV892" s="109"/>
      <c r="AW892" s="109"/>
      <c r="AX892" s="109"/>
      <c r="AY892" s="109"/>
      <c r="AZ892" s="109"/>
      <c r="BA892" s="109"/>
      <c r="BB892" s="109"/>
      <c r="BC892" s="109"/>
      <c r="BD892" s="109"/>
      <c r="BE892" s="109"/>
      <c r="BF892" s="109"/>
      <c r="BG892" s="109"/>
      <c r="BH892" s="109"/>
      <c r="BI892" s="109"/>
      <c r="BJ892" s="109"/>
      <c r="BK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63"/>
      <c r="J893" s="109"/>
      <c r="K893" s="109"/>
      <c r="L893" s="109"/>
      <c r="M893" s="109"/>
      <c r="N893" s="109"/>
      <c r="O893" s="164"/>
      <c r="P893" s="165"/>
      <c r="Q893" s="165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  <c r="AO893" s="109"/>
      <c r="AP893" s="109"/>
      <c r="AQ893" s="109"/>
      <c r="AR893" s="109"/>
      <c r="AS893" s="109"/>
      <c r="AT893" s="109"/>
      <c r="AU893" s="109"/>
      <c r="AV893" s="109"/>
      <c r="AW893" s="109"/>
      <c r="AX893" s="109"/>
      <c r="AY893" s="109"/>
      <c r="AZ893" s="109"/>
      <c r="BA893" s="109"/>
      <c r="BB893" s="109"/>
      <c r="BC893" s="109"/>
      <c r="BD893" s="109"/>
      <c r="BE893" s="109"/>
      <c r="BF893" s="109"/>
      <c r="BG893" s="109"/>
      <c r="BH893" s="109"/>
      <c r="BI893" s="109"/>
      <c r="BJ893" s="109"/>
      <c r="BK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63"/>
      <c r="J894" s="109"/>
      <c r="K894" s="109"/>
      <c r="L894" s="109"/>
      <c r="M894" s="109"/>
      <c r="N894" s="109"/>
      <c r="O894" s="164"/>
      <c r="P894" s="165"/>
      <c r="Q894" s="165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  <c r="AO894" s="109"/>
      <c r="AP894" s="109"/>
      <c r="AQ894" s="109"/>
      <c r="AR894" s="109"/>
      <c r="AS894" s="109"/>
      <c r="AT894" s="109"/>
      <c r="AU894" s="109"/>
      <c r="AV894" s="109"/>
      <c r="AW894" s="109"/>
      <c r="AX894" s="109"/>
      <c r="AY894" s="109"/>
      <c r="AZ894" s="109"/>
      <c r="BA894" s="109"/>
      <c r="BB894" s="109"/>
      <c r="BC894" s="109"/>
      <c r="BD894" s="109"/>
      <c r="BE894" s="109"/>
      <c r="BF894" s="109"/>
      <c r="BG894" s="109"/>
      <c r="BH894" s="109"/>
      <c r="BI894" s="109"/>
      <c r="BJ894" s="109"/>
      <c r="BK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63"/>
      <c r="J895" s="109"/>
      <c r="K895" s="109"/>
      <c r="L895" s="109"/>
      <c r="M895" s="109"/>
      <c r="N895" s="109"/>
      <c r="O895" s="164"/>
      <c r="P895" s="165"/>
      <c r="Q895" s="165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  <c r="AO895" s="109"/>
      <c r="AP895" s="109"/>
      <c r="AQ895" s="109"/>
      <c r="AR895" s="109"/>
      <c r="AS895" s="109"/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  <c r="BD895" s="109"/>
      <c r="BE895" s="109"/>
      <c r="BF895" s="109"/>
      <c r="BG895" s="109"/>
      <c r="BH895" s="109"/>
      <c r="BI895" s="109"/>
      <c r="BJ895" s="109"/>
      <c r="BK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63"/>
      <c r="J896" s="109"/>
      <c r="K896" s="109"/>
      <c r="L896" s="109"/>
      <c r="M896" s="109"/>
      <c r="N896" s="109"/>
      <c r="O896" s="164"/>
      <c r="P896" s="165"/>
      <c r="Q896" s="165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  <c r="AO896" s="109"/>
      <c r="AP896" s="109"/>
      <c r="AQ896" s="109"/>
      <c r="AR896" s="109"/>
      <c r="AS896" s="109"/>
      <c r="AT896" s="109"/>
      <c r="AU896" s="109"/>
      <c r="AV896" s="109"/>
      <c r="AW896" s="109"/>
      <c r="AX896" s="109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63"/>
      <c r="J897" s="109"/>
      <c r="K897" s="109"/>
      <c r="L897" s="109"/>
      <c r="M897" s="109"/>
      <c r="N897" s="109"/>
      <c r="O897" s="164"/>
      <c r="P897" s="165"/>
      <c r="Q897" s="165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  <c r="AO897" s="109"/>
      <c r="AP897" s="109"/>
      <c r="AQ897" s="109"/>
      <c r="AR897" s="109"/>
      <c r="AS897" s="109"/>
      <c r="AT897" s="109"/>
      <c r="AU897" s="109"/>
      <c r="AV897" s="109"/>
      <c r="AW897" s="109"/>
      <c r="AX897" s="109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63"/>
      <c r="J898" s="109"/>
      <c r="K898" s="109"/>
      <c r="L898" s="109"/>
      <c r="M898" s="109"/>
      <c r="N898" s="109"/>
      <c r="O898" s="164"/>
      <c r="P898" s="165"/>
      <c r="Q898" s="165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  <c r="AO898" s="109"/>
      <c r="AP898" s="109"/>
      <c r="AQ898" s="109"/>
      <c r="AR898" s="109"/>
      <c r="AS898" s="109"/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63"/>
      <c r="J899" s="109"/>
      <c r="K899" s="109"/>
      <c r="L899" s="109"/>
      <c r="M899" s="109"/>
      <c r="N899" s="109"/>
      <c r="O899" s="164"/>
      <c r="P899" s="165"/>
      <c r="Q899" s="165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  <c r="AO899" s="109"/>
      <c r="AP899" s="109"/>
      <c r="AQ899" s="109"/>
      <c r="AR899" s="109"/>
      <c r="AS899" s="109"/>
      <c r="AT899" s="109"/>
      <c r="AU899" s="109"/>
      <c r="AV899" s="109"/>
      <c r="AW899" s="109"/>
      <c r="AX899" s="109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63"/>
      <c r="J900" s="109"/>
      <c r="K900" s="109"/>
      <c r="L900" s="109"/>
      <c r="M900" s="109"/>
      <c r="N900" s="109"/>
      <c r="O900" s="164"/>
      <c r="P900" s="165"/>
      <c r="Q900" s="165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  <c r="AO900" s="109"/>
      <c r="AP900" s="109"/>
      <c r="AQ900" s="109"/>
      <c r="AR900" s="109"/>
      <c r="AS900" s="109"/>
      <c r="AT900" s="109"/>
      <c r="AU900" s="109"/>
      <c r="AV900" s="109"/>
      <c r="AW900" s="109"/>
      <c r="AX900" s="109"/>
      <c r="AY900" s="109"/>
      <c r="AZ900" s="109"/>
      <c r="BA900" s="109"/>
      <c r="BB900" s="109"/>
      <c r="BC900" s="109"/>
      <c r="BD900" s="109"/>
      <c r="BE900" s="109"/>
      <c r="BF900" s="109"/>
      <c r="BG900" s="109"/>
      <c r="BH900" s="109"/>
      <c r="BI900" s="109"/>
      <c r="BJ900" s="109"/>
      <c r="BK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63"/>
      <c r="J901" s="109"/>
      <c r="K901" s="109"/>
      <c r="L901" s="109"/>
      <c r="M901" s="109"/>
      <c r="N901" s="109"/>
      <c r="O901" s="164"/>
      <c r="P901" s="165"/>
      <c r="Q901" s="165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  <c r="AO901" s="109"/>
      <c r="AP901" s="109"/>
      <c r="AQ901" s="109"/>
      <c r="AR901" s="109"/>
      <c r="AS901" s="109"/>
      <c r="AT901" s="109"/>
      <c r="AU901" s="109"/>
      <c r="AV901" s="109"/>
      <c r="AW901" s="109"/>
      <c r="AX901" s="109"/>
      <c r="AY901" s="109"/>
      <c r="AZ901" s="109"/>
      <c r="BA901" s="109"/>
      <c r="BB901" s="109"/>
      <c r="BC901" s="109"/>
      <c r="BD901" s="109"/>
      <c r="BE901" s="109"/>
      <c r="BF901" s="109"/>
      <c r="BG901" s="109"/>
      <c r="BH901" s="109"/>
      <c r="BI901" s="109"/>
      <c r="BJ901" s="109"/>
      <c r="BK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63"/>
      <c r="J902" s="109"/>
      <c r="K902" s="109"/>
      <c r="L902" s="109"/>
      <c r="M902" s="109"/>
      <c r="N902" s="109"/>
      <c r="O902" s="164"/>
      <c r="P902" s="165"/>
      <c r="Q902" s="165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  <c r="AO902" s="109"/>
      <c r="AP902" s="109"/>
      <c r="AQ902" s="109"/>
      <c r="AR902" s="109"/>
      <c r="AS902" s="109"/>
      <c r="AT902" s="109"/>
      <c r="AU902" s="109"/>
      <c r="AV902" s="109"/>
      <c r="AW902" s="109"/>
      <c r="AX902" s="109"/>
      <c r="AY902" s="109"/>
      <c r="AZ902" s="109"/>
      <c r="BA902" s="109"/>
      <c r="BB902" s="109"/>
      <c r="BC902" s="109"/>
      <c r="BD902" s="109"/>
      <c r="BE902" s="109"/>
      <c r="BF902" s="109"/>
      <c r="BG902" s="109"/>
      <c r="BH902" s="109"/>
      <c r="BI902" s="109"/>
      <c r="BJ902" s="109"/>
      <c r="BK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63"/>
      <c r="J903" s="109"/>
      <c r="K903" s="109"/>
      <c r="L903" s="109"/>
      <c r="M903" s="109"/>
      <c r="N903" s="109"/>
      <c r="O903" s="164"/>
      <c r="P903" s="165"/>
      <c r="Q903" s="165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  <c r="AO903" s="109"/>
      <c r="AP903" s="109"/>
      <c r="AQ903" s="109"/>
      <c r="AR903" s="109"/>
      <c r="AS903" s="109"/>
      <c r="AT903" s="109"/>
      <c r="AU903" s="109"/>
      <c r="AV903" s="109"/>
      <c r="AW903" s="109"/>
      <c r="AX903" s="109"/>
      <c r="AY903" s="109"/>
      <c r="AZ903" s="109"/>
      <c r="BA903" s="109"/>
      <c r="BB903" s="109"/>
      <c r="BC903" s="109"/>
      <c r="BD903" s="109"/>
      <c r="BE903" s="109"/>
      <c r="BF903" s="109"/>
      <c r="BG903" s="109"/>
      <c r="BH903" s="109"/>
      <c r="BI903" s="109"/>
      <c r="BJ903" s="109"/>
      <c r="BK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63"/>
      <c r="J904" s="109"/>
      <c r="K904" s="109"/>
      <c r="L904" s="109"/>
      <c r="M904" s="109"/>
      <c r="N904" s="109"/>
      <c r="O904" s="164"/>
      <c r="P904" s="165"/>
      <c r="Q904" s="165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  <c r="AO904" s="109"/>
      <c r="AP904" s="109"/>
      <c r="AQ904" s="109"/>
      <c r="AR904" s="109"/>
      <c r="AS904" s="109"/>
      <c r="AT904" s="109"/>
      <c r="AU904" s="109"/>
      <c r="AV904" s="109"/>
      <c r="AW904" s="109"/>
      <c r="AX904" s="109"/>
      <c r="AY904" s="109"/>
      <c r="AZ904" s="109"/>
      <c r="BA904" s="109"/>
      <c r="BB904" s="109"/>
      <c r="BC904" s="109"/>
      <c r="BD904" s="109"/>
      <c r="BE904" s="109"/>
      <c r="BF904" s="109"/>
      <c r="BG904" s="109"/>
      <c r="BH904" s="109"/>
      <c r="BI904" s="109"/>
      <c r="BJ904" s="109"/>
      <c r="BK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63"/>
      <c r="J905" s="109"/>
      <c r="K905" s="109"/>
      <c r="L905" s="109"/>
      <c r="M905" s="109"/>
      <c r="N905" s="109"/>
      <c r="O905" s="164"/>
      <c r="P905" s="165"/>
      <c r="Q905" s="165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  <c r="AO905" s="109"/>
      <c r="AP905" s="109"/>
      <c r="AQ905" s="109"/>
      <c r="AR905" s="109"/>
      <c r="AS905" s="109"/>
      <c r="AT905" s="109"/>
      <c r="AU905" s="109"/>
      <c r="AV905" s="109"/>
      <c r="AW905" s="109"/>
      <c r="AX905" s="109"/>
      <c r="AY905" s="109"/>
      <c r="AZ905" s="109"/>
      <c r="BA905" s="109"/>
      <c r="BB905" s="109"/>
      <c r="BC905" s="109"/>
      <c r="BD905" s="109"/>
      <c r="BE905" s="109"/>
      <c r="BF905" s="109"/>
      <c r="BG905" s="109"/>
      <c r="BH905" s="109"/>
      <c r="BI905" s="109"/>
      <c r="BJ905" s="109"/>
      <c r="BK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63"/>
      <c r="J906" s="109"/>
      <c r="K906" s="109"/>
      <c r="L906" s="109"/>
      <c r="M906" s="109"/>
      <c r="N906" s="109"/>
      <c r="O906" s="164"/>
      <c r="P906" s="165"/>
      <c r="Q906" s="165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  <c r="AO906" s="109"/>
      <c r="AP906" s="109"/>
      <c r="AQ906" s="109"/>
      <c r="AR906" s="109"/>
      <c r="AS906" s="109"/>
      <c r="AT906" s="109"/>
      <c r="AU906" s="109"/>
      <c r="AV906" s="109"/>
      <c r="AW906" s="109"/>
      <c r="AX906" s="109"/>
      <c r="AY906" s="109"/>
      <c r="AZ906" s="109"/>
      <c r="BA906" s="109"/>
      <c r="BB906" s="109"/>
      <c r="BC906" s="109"/>
      <c r="BD906" s="109"/>
      <c r="BE906" s="109"/>
      <c r="BF906" s="109"/>
      <c r="BG906" s="109"/>
      <c r="BH906" s="109"/>
      <c r="BI906" s="109"/>
      <c r="BJ906" s="109"/>
      <c r="BK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63"/>
      <c r="J907" s="109"/>
      <c r="K907" s="109"/>
      <c r="L907" s="109"/>
      <c r="M907" s="109"/>
      <c r="N907" s="109"/>
      <c r="O907" s="164"/>
      <c r="P907" s="165"/>
      <c r="Q907" s="165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  <c r="AO907" s="109"/>
      <c r="AP907" s="109"/>
      <c r="AQ907" s="109"/>
      <c r="AR907" s="109"/>
      <c r="AS907" s="109"/>
      <c r="AT907" s="109"/>
      <c r="AU907" s="109"/>
      <c r="AV907" s="109"/>
      <c r="AW907" s="109"/>
      <c r="AX907" s="109"/>
      <c r="AY907" s="109"/>
      <c r="AZ907" s="109"/>
      <c r="BA907" s="109"/>
      <c r="BB907" s="109"/>
      <c r="BC907" s="109"/>
      <c r="BD907" s="109"/>
      <c r="BE907" s="109"/>
      <c r="BF907" s="109"/>
      <c r="BG907" s="109"/>
      <c r="BH907" s="109"/>
      <c r="BI907" s="109"/>
      <c r="BJ907" s="109"/>
      <c r="BK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63"/>
      <c r="J908" s="109"/>
      <c r="K908" s="109"/>
      <c r="L908" s="109"/>
      <c r="M908" s="109"/>
      <c r="N908" s="109"/>
      <c r="O908" s="164"/>
      <c r="P908" s="165"/>
      <c r="Q908" s="165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  <c r="AO908" s="109"/>
      <c r="AP908" s="109"/>
      <c r="AQ908" s="109"/>
      <c r="AR908" s="109"/>
      <c r="AS908" s="109"/>
      <c r="AT908" s="109"/>
      <c r="AU908" s="109"/>
      <c r="AV908" s="109"/>
      <c r="AW908" s="109"/>
      <c r="AX908" s="109"/>
      <c r="AY908" s="109"/>
      <c r="AZ908" s="109"/>
      <c r="BA908" s="109"/>
      <c r="BB908" s="109"/>
      <c r="BC908" s="109"/>
      <c r="BD908" s="109"/>
      <c r="BE908" s="109"/>
      <c r="BF908" s="109"/>
      <c r="BG908" s="109"/>
      <c r="BH908" s="109"/>
      <c r="BI908" s="109"/>
      <c r="BJ908" s="109"/>
      <c r="BK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63"/>
      <c r="J909" s="109"/>
      <c r="K909" s="109"/>
      <c r="L909" s="109"/>
      <c r="M909" s="109"/>
      <c r="N909" s="109"/>
      <c r="O909" s="164"/>
      <c r="P909" s="165"/>
      <c r="Q909" s="165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  <c r="AO909" s="109"/>
      <c r="AP909" s="109"/>
      <c r="AQ909" s="109"/>
      <c r="AR909" s="109"/>
      <c r="AS909" s="109"/>
      <c r="AT909" s="109"/>
      <c r="AU909" s="109"/>
      <c r="AV909" s="109"/>
      <c r="AW909" s="109"/>
      <c r="AX909" s="109"/>
      <c r="AY909" s="109"/>
      <c r="AZ909" s="109"/>
      <c r="BA909" s="109"/>
      <c r="BB909" s="109"/>
      <c r="BC909" s="109"/>
      <c r="BD909" s="109"/>
      <c r="BE909" s="109"/>
      <c r="BF909" s="109"/>
      <c r="BG909" s="109"/>
      <c r="BH909" s="109"/>
      <c r="BI909" s="109"/>
      <c r="BJ909" s="109"/>
      <c r="BK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63"/>
      <c r="J910" s="109"/>
      <c r="K910" s="109"/>
      <c r="L910" s="109"/>
      <c r="M910" s="109"/>
      <c r="N910" s="109"/>
      <c r="O910" s="164"/>
      <c r="P910" s="165"/>
      <c r="Q910" s="165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  <c r="AO910" s="109"/>
      <c r="AP910" s="109"/>
      <c r="AQ910" s="109"/>
      <c r="AR910" s="109"/>
      <c r="AS910" s="109"/>
      <c r="AT910" s="109"/>
      <c r="AU910" s="109"/>
      <c r="AV910" s="109"/>
      <c r="AW910" s="109"/>
      <c r="AX910" s="109"/>
      <c r="AY910" s="109"/>
      <c r="AZ910" s="109"/>
      <c r="BA910" s="109"/>
      <c r="BB910" s="109"/>
      <c r="BC910" s="109"/>
      <c r="BD910" s="109"/>
      <c r="BE910" s="109"/>
      <c r="BF910" s="109"/>
      <c r="BG910" s="109"/>
      <c r="BH910" s="109"/>
      <c r="BI910" s="109"/>
      <c r="BJ910" s="109"/>
      <c r="BK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63"/>
      <c r="J911" s="109"/>
      <c r="K911" s="109"/>
      <c r="L911" s="109"/>
      <c r="M911" s="109"/>
      <c r="N911" s="109"/>
      <c r="O911" s="164"/>
      <c r="P911" s="165"/>
      <c r="Q911" s="165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  <c r="AO911" s="109"/>
      <c r="AP911" s="109"/>
      <c r="AQ911" s="109"/>
      <c r="AR911" s="109"/>
      <c r="AS911" s="109"/>
      <c r="AT911" s="109"/>
      <c r="AU911" s="109"/>
      <c r="AV911" s="109"/>
      <c r="AW911" s="109"/>
      <c r="AX911" s="109"/>
      <c r="AY911" s="109"/>
      <c r="AZ911" s="109"/>
      <c r="BA911" s="109"/>
      <c r="BB911" s="109"/>
      <c r="BC911" s="109"/>
      <c r="BD911" s="109"/>
      <c r="BE911" s="109"/>
      <c r="BF911" s="109"/>
      <c r="BG911" s="109"/>
      <c r="BH911" s="109"/>
      <c r="BI911" s="109"/>
      <c r="BJ911" s="109"/>
      <c r="BK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63"/>
      <c r="J912" s="109"/>
      <c r="K912" s="109"/>
      <c r="L912" s="109"/>
      <c r="M912" s="109"/>
      <c r="N912" s="109"/>
      <c r="O912" s="164"/>
      <c r="P912" s="165"/>
      <c r="Q912" s="165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  <c r="AO912" s="109"/>
      <c r="AP912" s="109"/>
      <c r="AQ912" s="109"/>
      <c r="AR912" s="109"/>
      <c r="AS912" s="109"/>
      <c r="AT912" s="109"/>
      <c r="AU912" s="109"/>
      <c r="AV912" s="109"/>
      <c r="AW912" s="109"/>
      <c r="AX912" s="109"/>
      <c r="AY912" s="109"/>
      <c r="AZ912" s="109"/>
      <c r="BA912" s="109"/>
      <c r="BB912" s="109"/>
      <c r="BC912" s="109"/>
      <c r="BD912" s="109"/>
      <c r="BE912" s="109"/>
      <c r="BF912" s="109"/>
      <c r="BG912" s="109"/>
      <c r="BH912" s="109"/>
      <c r="BI912" s="109"/>
      <c r="BJ912" s="109"/>
      <c r="BK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63"/>
      <c r="J913" s="109"/>
      <c r="K913" s="109"/>
      <c r="L913" s="109"/>
      <c r="M913" s="109"/>
      <c r="N913" s="109"/>
      <c r="O913" s="164"/>
      <c r="P913" s="165"/>
      <c r="Q913" s="165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  <c r="AO913" s="109"/>
      <c r="AP913" s="109"/>
      <c r="AQ913" s="109"/>
      <c r="AR913" s="109"/>
      <c r="AS913" s="109"/>
      <c r="AT913" s="109"/>
      <c r="AU913" s="109"/>
      <c r="AV913" s="109"/>
      <c r="AW913" s="109"/>
      <c r="AX913" s="109"/>
      <c r="AY913" s="109"/>
      <c r="AZ913" s="109"/>
      <c r="BA913" s="109"/>
      <c r="BB913" s="109"/>
      <c r="BC913" s="109"/>
      <c r="BD913" s="109"/>
      <c r="BE913" s="109"/>
      <c r="BF913" s="109"/>
      <c r="BG913" s="109"/>
      <c r="BH913" s="109"/>
      <c r="BI913" s="109"/>
      <c r="BJ913" s="109"/>
      <c r="BK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63"/>
      <c r="J914" s="109"/>
      <c r="K914" s="109"/>
      <c r="L914" s="109"/>
      <c r="M914" s="109"/>
      <c r="N914" s="109"/>
      <c r="O914" s="164"/>
      <c r="P914" s="165"/>
      <c r="Q914" s="165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  <c r="AO914" s="109"/>
      <c r="AP914" s="109"/>
      <c r="AQ914" s="109"/>
      <c r="AR914" s="109"/>
      <c r="AS914" s="109"/>
      <c r="AT914" s="109"/>
      <c r="AU914" s="109"/>
      <c r="AV914" s="109"/>
      <c r="AW914" s="109"/>
      <c r="AX914" s="109"/>
      <c r="AY914" s="109"/>
      <c r="AZ914" s="109"/>
      <c r="BA914" s="109"/>
      <c r="BB914" s="109"/>
      <c r="BC914" s="109"/>
      <c r="BD914" s="109"/>
      <c r="BE914" s="109"/>
      <c r="BF914" s="109"/>
      <c r="BG914" s="109"/>
      <c r="BH914" s="109"/>
      <c r="BI914" s="109"/>
      <c r="BJ914" s="109"/>
      <c r="BK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63"/>
      <c r="J915" s="109"/>
      <c r="K915" s="109"/>
      <c r="L915" s="109"/>
      <c r="M915" s="109"/>
      <c r="N915" s="109"/>
      <c r="O915" s="164"/>
      <c r="P915" s="165"/>
      <c r="Q915" s="165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  <c r="AO915" s="109"/>
      <c r="AP915" s="109"/>
      <c r="AQ915" s="109"/>
      <c r="AR915" s="109"/>
      <c r="AS915" s="109"/>
      <c r="AT915" s="109"/>
      <c r="AU915" s="109"/>
      <c r="AV915" s="109"/>
      <c r="AW915" s="109"/>
      <c r="AX915" s="109"/>
      <c r="AY915" s="109"/>
      <c r="AZ915" s="109"/>
      <c r="BA915" s="109"/>
      <c r="BB915" s="109"/>
      <c r="BC915" s="109"/>
      <c r="BD915" s="109"/>
      <c r="BE915" s="109"/>
      <c r="BF915" s="109"/>
      <c r="BG915" s="109"/>
      <c r="BH915" s="109"/>
      <c r="BI915" s="109"/>
      <c r="BJ915" s="109"/>
      <c r="BK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63"/>
      <c r="J916" s="109"/>
      <c r="K916" s="109"/>
      <c r="L916" s="109"/>
      <c r="M916" s="109"/>
      <c r="N916" s="109"/>
      <c r="O916" s="164"/>
      <c r="P916" s="165"/>
      <c r="Q916" s="165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  <c r="AO916" s="109"/>
      <c r="AP916" s="109"/>
      <c r="AQ916" s="109"/>
      <c r="AR916" s="109"/>
      <c r="AS916" s="109"/>
      <c r="AT916" s="109"/>
      <c r="AU916" s="109"/>
      <c r="AV916" s="109"/>
      <c r="AW916" s="109"/>
      <c r="AX916" s="109"/>
      <c r="AY916" s="109"/>
      <c r="AZ916" s="109"/>
      <c r="BA916" s="109"/>
      <c r="BB916" s="109"/>
      <c r="BC916" s="109"/>
      <c r="BD916" s="109"/>
      <c r="BE916" s="109"/>
      <c r="BF916" s="109"/>
      <c r="BG916" s="109"/>
      <c r="BH916" s="109"/>
      <c r="BI916" s="109"/>
      <c r="BJ916" s="109"/>
      <c r="BK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63"/>
      <c r="J917" s="109"/>
      <c r="K917" s="109"/>
      <c r="L917" s="109"/>
      <c r="M917" s="109"/>
      <c r="N917" s="109"/>
      <c r="O917" s="164"/>
      <c r="P917" s="165"/>
      <c r="Q917" s="165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  <c r="AO917" s="109"/>
      <c r="AP917" s="109"/>
      <c r="AQ917" s="109"/>
      <c r="AR917" s="109"/>
      <c r="AS917" s="109"/>
      <c r="AT917" s="109"/>
      <c r="AU917" s="109"/>
      <c r="AV917" s="109"/>
      <c r="AW917" s="109"/>
      <c r="AX917" s="109"/>
      <c r="AY917" s="109"/>
      <c r="AZ917" s="109"/>
      <c r="BA917" s="109"/>
      <c r="BB917" s="109"/>
      <c r="BC917" s="109"/>
      <c r="BD917" s="109"/>
      <c r="BE917" s="109"/>
      <c r="BF917" s="109"/>
      <c r="BG917" s="109"/>
      <c r="BH917" s="109"/>
      <c r="BI917" s="109"/>
      <c r="BJ917" s="109"/>
      <c r="BK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63"/>
      <c r="J918" s="109"/>
      <c r="K918" s="109"/>
      <c r="L918" s="109"/>
      <c r="M918" s="109"/>
      <c r="N918" s="109"/>
      <c r="O918" s="164"/>
      <c r="P918" s="165"/>
      <c r="Q918" s="165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  <c r="AO918" s="109"/>
      <c r="AP918" s="109"/>
      <c r="AQ918" s="109"/>
      <c r="AR918" s="109"/>
      <c r="AS918" s="109"/>
      <c r="AT918" s="109"/>
      <c r="AU918" s="109"/>
      <c r="AV918" s="109"/>
      <c r="AW918" s="109"/>
      <c r="AX918" s="109"/>
      <c r="AY918" s="109"/>
      <c r="AZ918" s="109"/>
      <c r="BA918" s="109"/>
      <c r="BB918" s="109"/>
      <c r="BC918" s="109"/>
      <c r="BD918" s="109"/>
      <c r="BE918" s="109"/>
      <c r="BF918" s="109"/>
      <c r="BG918" s="109"/>
      <c r="BH918" s="109"/>
      <c r="BI918" s="109"/>
      <c r="BJ918" s="109"/>
      <c r="BK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63"/>
      <c r="J919" s="109"/>
      <c r="K919" s="109"/>
      <c r="L919" s="109"/>
      <c r="M919" s="109"/>
      <c r="N919" s="109"/>
      <c r="O919" s="164"/>
      <c r="P919" s="165"/>
      <c r="Q919" s="165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  <c r="AO919" s="109"/>
      <c r="AP919" s="109"/>
      <c r="AQ919" s="109"/>
      <c r="AR919" s="109"/>
      <c r="AS919" s="109"/>
      <c r="AT919" s="109"/>
      <c r="AU919" s="109"/>
      <c r="AV919" s="109"/>
      <c r="AW919" s="109"/>
      <c r="AX919" s="109"/>
      <c r="AY919" s="109"/>
      <c r="AZ919" s="109"/>
      <c r="BA919" s="109"/>
      <c r="BB919" s="109"/>
      <c r="BC919" s="109"/>
      <c r="BD919" s="109"/>
      <c r="BE919" s="109"/>
      <c r="BF919" s="109"/>
      <c r="BG919" s="109"/>
      <c r="BH919" s="109"/>
      <c r="BI919" s="109"/>
      <c r="BJ919" s="109"/>
      <c r="BK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63"/>
      <c r="J920" s="109"/>
      <c r="K920" s="109"/>
      <c r="L920" s="109"/>
      <c r="M920" s="109"/>
      <c r="N920" s="109"/>
      <c r="O920" s="164"/>
      <c r="P920" s="165"/>
      <c r="Q920" s="165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  <c r="AO920" s="109"/>
      <c r="AP920" s="109"/>
      <c r="AQ920" s="109"/>
      <c r="AR920" s="109"/>
      <c r="AS920" s="109"/>
      <c r="AT920" s="109"/>
      <c r="AU920" s="109"/>
      <c r="AV920" s="109"/>
      <c r="AW920" s="109"/>
      <c r="AX920" s="109"/>
      <c r="AY920" s="109"/>
      <c r="AZ920" s="109"/>
      <c r="BA920" s="109"/>
      <c r="BB920" s="109"/>
      <c r="BC920" s="109"/>
      <c r="BD920" s="109"/>
      <c r="BE920" s="109"/>
      <c r="BF920" s="109"/>
      <c r="BG920" s="109"/>
      <c r="BH920" s="109"/>
      <c r="BI920" s="109"/>
      <c r="BJ920" s="109"/>
      <c r="BK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63"/>
      <c r="J921" s="109"/>
      <c r="K921" s="109"/>
      <c r="L921" s="109"/>
      <c r="M921" s="109"/>
      <c r="N921" s="109"/>
      <c r="O921" s="164"/>
      <c r="P921" s="165"/>
      <c r="Q921" s="165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  <c r="AO921" s="109"/>
      <c r="AP921" s="109"/>
      <c r="AQ921" s="109"/>
      <c r="AR921" s="109"/>
      <c r="AS921" s="109"/>
      <c r="AT921" s="109"/>
      <c r="AU921" s="109"/>
      <c r="AV921" s="109"/>
      <c r="AW921" s="109"/>
      <c r="AX921" s="109"/>
      <c r="AY921" s="109"/>
      <c r="AZ921" s="109"/>
      <c r="BA921" s="109"/>
      <c r="BB921" s="109"/>
      <c r="BC921" s="109"/>
      <c r="BD921" s="109"/>
      <c r="BE921" s="109"/>
      <c r="BF921" s="109"/>
      <c r="BG921" s="109"/>
      <c r="BH921" s="109"/>
      <c r="BI921" s="109"/>
      <c r="BJ921" s="109"/>
      <c r="BK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63"/>
      <c r="J922" s="109"/>
      <c r="K922" s="109"/>
      <c r="L922" s="109"/>
      <c r="M922" s="109"/>
      <c r="N922" s="109"/>
      <c r="O922" s="164"/>
      <c r="P922" s="165"/>
      <c r="Q922" s="165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  <c r="AO922" s="109"/>
      <c r="AP922" s="109"/>
      <c r="AQ922" s="109"/>
      <c r="AR922" s="109"/>
      <c r="AS922" s="109"/>
      <c r="AT922" s="109"/>
      <c r="AU922" s="109"/>
      <c r="AV922" s="109"/>
      <c r="AW922" s="109"/>
      <c r="AX922" s="109"/>
      <c r="AY922" s="109"/>
      <c r="AZ922" s="109"/>
      <c r="BA922" s="109"/>
      <c r="BB922" s="109"/>
      <c r="BC922" s="109"/>
      <c r="BD922" s="109"/>
      <c r="BE922" s="109"/>
      <c r="BF922" s="109"/>
      <c r="BG922" s="109"/>
      <c r="BH922" s="109"/>
      <c r="BI922" s="109"/>
      <c r="BJ922" s="109"/>
      <c r="BK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63"/>
      <c r="J923" s="109"/>
      <c r="K923" s="109"/>
      <c r="L923" s="109"/>
      <c r="M923" s="109"/>
      <c r="N923" s="109"/>
      <c r="O923" s="164"/>
      <c r="P923" s="165"/>
      <c r="Q923" s="165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  <c r="AO923" s="109"/>
      <c r="AP923" s="109"/>
      <c r="AQ923" s="109"/>
      <c r="AR923" s="109"/>
      <c r="AS923" s="109"/>
      <c r="AT923" s="109"/>
      <c r="AU923" s="109"/>
      <c r="AV923" s="109"/>
      <c r="AW923" s="109"/>
      <c r="AX923" s="109"/>
      <c r="AY923" s="109"/>
      <c r="AZ923" s="109"/>
      <c r="BA923" s="109"/>
      <c r="BB923" s="109"/>
      <c r="BC923" s="109"/>
      <c r="BD923" s="109"/>
      <c r="BE923" s="109"/>
      <c r="BF923" s="109"/>
      <c r="BG923" s="109"/>
      <c r="BH923" s="109"/>
      <c r="BI923" s="109"/>
      <c r="BJ923" s="109"/>
      <c r="BK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63"/>
      <c r="J924" s="109"/>
      <c r="K924" s="109"/>
      <c r="L924" s="109"/>
      <c r="M924" s="109"/>
      <c r="N924" s="109"/>
      <c r="O924" s="164"/>
      <c r="P924" s="165"/>
      <c r="Q924" s="165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  <c r="AO924" s="109"/>
      <c r="AP924" s="109"/>
      <c r="AQ924" s="109"/>
      <c r="AR924" s="109"/>
      <c r="AS924" s="109"/>
      <c r="AT924" s="109"/>
      <c r="AU924" s="109"/>
      <c r="AV924" s="109"/>
      <c r="AW924" s="109"/>
      <c r="AX924" s="109"/>
      <c r="AY924" s="109"/>
      <c r="AZ924" s="109"/>
      <c r="BA924" s="109"/>
      <c r="BB924" s="109"/>
      <c r="BC924" s="109"/>
      <c r="BD924" s="109"/>
      <c r="BE924" s="109"/>
      <c r="BF924" s="109"/>
      <c r="BG924" s="109"/>
      <c r="BH924" s="109"/>
      <c r="BI924" s="109"/>
      <c r="BJ924" s="109"/>
      <c r="BK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63"/>
      <c r="J925" s="109"/>
      <c r="K925" s="109"/>
      <c r="L925" s="109"/>
      <c r="M925" s="109"/>
      <c r="N925" s="109"/>
      <c r="O925" s="164"/>
      <c r="P925" s="165"/>
      <c r="Q925" s="165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  <c r="AO925" s="109"/>
      <c r="AP925" s="109"/>
      <c r="AQ925" s="109"/>
      <c r="AR925" s="109"/>
      <c r="AS925" s="109"/>
      <c r="AT925" s="109"/>
      <c r="AU925" s="109"/>
      <c r="AV925" s="109"/>
      <c r="AW925" s="109"/>
      <c r="AX925" s="109"/>
      <c r="AY925" s="109"/>
      <c r="AZ925" s="109"/>
      <c r="BA925" s="109"/>
      <c r="BB925" s="109"/>
      <c r="BC925" s="109"/>
      <c r="BD925" s="109"/>
      <c r="BE925" s="109"/>
      <c r="BF925" s="109"/>
      <c r="BG925" s="109"/>
      <c r="BH925" s="109"/>
      <c r="BI925" s="109"/>
      <c r="BJ925" s="109"/>
      <c r="BK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63"/>
      <c r="J926" s="109"/>
      <c r="K926" s="109"/>
      <c r="L926" s="109"/>
      <c r="M926" s="109"/>
      <c r="N926" s="109"/>
      <c r="O926" s="164"/>
      <c r="P926" s="165"/>
      <c r="Q926" s="165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  <c r="AO926" s="109"/>
      <c r="AP926" s="109"/>
      <c r="AQ926" s="109"/>
      <c r="AR926" s="109"/>
      <c r="AS926" s="109"/>
      <c r="AT926" s="109"/>
      <c r="AU926" s="109"/>
      <c r="AV926" s="109"/>
      <c r="AW926" s="109"/>
      <c r="AX926" s="109"/>
      <c r="AY926" s="109"/>
      <c r="AZ926" s="109"/>
      <c r="BA926" s="109"/>
      <c r="BB926" s="109"/>
      <c r="BC926" s="109"/>
      <c r="BD926" s="109"/>
      <c r="BE926" s="109"/>
      <c r="BF926" s="109"/>
      <c r="BG926" s="109"/>
      <c r="BH926" s="109"/>
      <c r="BI926" s="109"/>
      <c r="BJ926" s="109"/>
      <c r="BK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63"/>
      <c r="J927" s="109"/>
      <c r="K927" s="109"/>
      <c r="L927" s="109"/>
      <c r="M927" s="109"/>
      <c r="N927" s="109"/>
      <c r="O927" s="164"/>
      <c r="P927" s="165"/>
      <c r="Q927" s="165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  <c r="AO927" s="109"/>
      <c r="AP927" s="109"/>
      <c r="AQ927" s="109"/>
      <c r="AR927" s="109"/>
      <c r="AS927" s="109"/>
      <c r="AT927" s="109"/>
      <c r="AU927" s="109"/>
      <c r="AV927" s="109"/>
      <c r="AW927" s="109"/>
      <c r="AX927" s="109"/>
      <c r="AY927" s="109"/>
      <c r="AZ927" s="109"/>
      <c r="BA927" s="109"/>
      <c r="BB927" s="109"/>
      <c r="BC927" s="109"/>
      <c r="BD927" s="109"/>
      <c r="BE927" s="109"/>
      <c r="BF927" s="109"/>
      <c r="BG927" s="109"/>
      <c r="BH927" s="109"/>
      <c r="BI927" s="109"/>
      <c r="BJ927" s="109"/>
      <c r="BK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63"/>
      <c r="J928" s="109"/>
      <c r="K928" s="109"/>
      <c r="L928" s="109"/>
      <c r="M928" s="109"/>
      <c r="N928" s="109"/>
      <c r="O928" s="164"/>
      <c r="P928" s="165"/>
      <c r="Q928" s="165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  <c r="AO928" s="109"/>
      <c r="AP928" s="109"/>
      <c r="AQ928" s="109"/>
      <c r="AR928" s="109"/>
      <c r="AS928" s="109"/>
      <c r="AT928" s="109"/>
      <c r="AU928" s="109"/>
      <c r="AV928" s="109"/>
      <c r="AW928" s="109"/>
      <c r="AX928" s="109"/>
      <c r="AY928" s="109"/>
      <c r="AZ928" s="109"/>
      <c r="BA928" s="109"/>
      <c r="BB928" s="109"/>
      <c r="BC928" s="109"/>
      <c r="BD928" s="109"/>
      <c r="BE928" s="109"/>
      <c r="BF928" s="109"/>
      <c r="BG928" s="109"/>
      <c r="BH928" s="109"/>
      <c r="BI928" s="109"/>
      <c r="BJ928" s="109"/>
      <c r="BK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63"/>
      <c r="J929" s="109"/>
      <c r="K929" s="109"/>
      <c r="L929" s="109"/>
      <c r="M929" s="109"/>
      <c r="N929" s="109"/>
      <c r="O929" s="164"/>
      <c r="P929" s="165"/>
      <c r="Q929" s="165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  <c r="AO929" s="109"/>
      <c r="AP929" s="109"/>
      <c r="AQ929" s="109"/>
      <c r="AR929" s="109"/>
      <c r="AS929" s="109"/>
      <c r="AT929" s="109"/>
      <c r="AU929" s="109"/>
      <c r="AV929" s="109"/>
      <c r="AW929" s="109"/>
      <c r="AX929" s="109"/>
      <c r="AY929" s="109"/>
      <c r="AZ929" s="109"/>
      <c r="BA929" s="109"/>
      <c r="BB929" s="109"/>
      <c r="BC929" s="109"/>
      <c r="BD929" s="109"/>
      <c r="BE929" s="109"/>
      <c r="BF929" s="109"/>
      <c r="BG929" s="109"/>
      <c r="BH929" s="109"/>
      <c r="BI929" s="109"/>
      <c r="BJ929" s="109"/>
      <c r="BK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63"/>
      <c r="J930" s="109"/>
      <c r="K930" s="109"/>
      <c r="L930" s="109"/>
      <c r="M930" s="109"/>
      <c r="N930" s="109"/>
      <c r="O930" s="164"/>
      <c r="P930" s="165"/>
      <c r="Q930" s="165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  <c r="AO930" s="109"/>
      <c r="AP930" s="109"/>
      <c r="AQ930" s="109"/>
      <c r="AR930" s="109"/>
      <c r="AS930" s="109"/>
      <c r="AT930" s="109"/>
      <c r="AU930" s="109"/>
      <c r="AV930" s="109"/>
      <c r="AW930" s="109"/>
      <c r="AX930" s="109"/>
      <c r="AY930" s="109"/>
      <c r="AZ930" s="109"/>
      <c r="BA930" s="109"/>
      <c r="BB930" s="109"/>
      <c r="BC930" s="109"/>
      <c r="BD930" s="109"/>
      <c r="BE930" s="109"/>
      <c r="BF930" s="109"/>
      <c r="BG930" s="109"/>
      <c r="BH930" s="109"/>
      <c r="BI930" s="109"/>
      <c r="BJ930" s="109"/>
      <c r="BK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63"/>
      <c r="J931" s="109"/>
      <c r="K931" s="109"/>
      <c r="L931" s="109"/>
      <c r="M931" s="109"/>
      <c r="N931" s="109"/>
      <c r="O931" s="164"/>
      <c r="P931" s="165"/>
      <c r="Q931" s="165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  <c r="AO931" s="109"/>
      <c r="AP931" s="109"/>
      <c r="AQ931" s="109"/>
      <c r="AR931" s="109"/>
      <c r="AS931" s="109"/>
      <c r="AT931" s="109"/>
      <c r="AU931" s="109"/>
      <c r="AV931" s="109"/>
      <c r="AW931" s="109"/>
      <c r="AX931" s="109"/>
      <c r="AY931" s="109"/>
      <c r="AZ931" s="109"/>
      <c r="BA931" s="109"/>
      <c r="BB931" s="109"/>
      <c r="BC931" s="109"/>
      <c r="BD931" s="109"/>
      <c r="BE931" s="109"/>
      <c r="BF931" s="109"/>
      <c r="BG931" s="109"/>
      <c r="BH931" s="109"/>
      <c r="BI931" s="109"/>
      <c r="BJ931" s="109"/>
      <c r="BK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63"/>
      <c r="J932" s="109"/>
      <c r="K932" s="109"/>
      <c r="L932" s="109"/>
      <c r="M932" s="109"/>
      <c r="N932" s="109"/>
      <c r="O932" s="164"/>
      <c r="P932" s="165"/>
      <c r="Q932" s="165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  <c r="AO932" s="109"/>
      <c r="AP932" s="109"/>
      <c r="AQ932" s="109"/>
      <c r="AR932" s="109"/>
      <c r="AS932" s="109"/>
      <c r="AT932" s="109"/>
      <c r="AU932" s="109"/>
      <c r="AV932" s="109"/>
      <c r="AW932" s="109"/>
      <c r="AX932" s="109"/>
      <c r="AY932" s="109"/>
      <c r="AZ932" s="109"/>
      <c r="BA932" s="109"/>
      <c r="BB932" s="109"/>
      <c r="BC932" s="109"/>
      <c r="BD932" s="109"/>
      <c r="BE932" s="109"/>
      <c r="BF932" s="109"/>
      <c r="BG932" s="109"/>
      <c r="BH932" s="109"/>
      <c r="BI932" s="109"/>
      <c r="BJ932" s="109"/>
      <c r="BK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63"/>
      <c r="J933" s="109"/>
      <c r="K933" s="109"/>
      <c r="L933" s="109"/>
      <c r="M933" s="109"/>
      <c r="N933" s="109"/>
      <c r="O933" s="164"/>
      <c r="P933" s="165"/>
      <c r="Q933" s="165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  <c r="AO933" s="109"/>
      <c r="AP933" s="109"/>
      <c r="AQ933" s="109"/>
      <c r="AR933" s="109"/>
      <c r="AS933" s="109"/>
      <c r="AT933" s="109"/>
      <c r="AU933" s="109"/>
      <c r="AV933" s="109"/>
      <c r="AW933" s="109"/>
      <c r="AX933" s="109"/>
      <c r="AY933" s="109"/>
      <c r="AZ933" s="109"/>
      <c r="BA933" s="109"/>
      <c r="BB933" s="109"/>
      <c r="BC933" s="109"/>
      <c r="BD933" s="109"/>
      <c r="BE933" s="109"/>
      <c r="BF933" s="109"/>
      <c r="BG933" s="109"/>
      <c r="BH933" s="109"/>
      <c r="BI933" s="109"/>
      <c r="BJ933" s="109"/>
      <c r="BK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63"/>
      <c r="J934" s="109"/>
      <c r="K934" s="109"/>
      <c r="L934" s="109"/>
      <c r="M934" s="109"/>
      <c r="N934" s="109"/>
      <c r="O934" s="164"/>
      <c r="P934" s="165"/>
      <c r="Q934" s="165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  <c r="AO934" s="109"/>
      <c r="AP934" s="109"/>
      <c r="AQ934" s="109"/>
      <c r="AR934" s="109"/>
      <c r="AS934" s="109"/>
      <c r="AT934" s="109"/>
      <c r="AU934" s="109"/>
      <c r="AV934" s="109"/>
      <c r="AW934" s="109"/>
      <c r="AX934" s="109"/>
      <c r="AY934" s="109"/>
      <c r="AZ934" s="109"/>
      <c r="BA934" s="109"/>
      <c r="BB934" s="109"/>
      <c r="BC934" s="109"/>
      <c r="BD934" s="109"/>
      <c r="BE934" s="109"/>
      <c r="BF934" s="109"/>
      <c r="BG934" s="109"/>
      <c r="BH934" s="109"/>
      <c r="BI934" s="109"/>
      <c r="BJ934" s="109"/>
      <c r="BK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63"/>
      <c r="J935" s="109"/>
      <c r="K935" s="109"/>
      <c r="L935" s="109"/>
      <c r="M935" s="109"/>
      <c r="N935" s="109"/>
      <c r="O935" s="164"/>
      <c r="P935" s="165"/>
      <c r="Q935" s="165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  <c r="AO935" s="109"/>
      <c r="AP935" s="109"/>
      <c r="AQ935" s="109"/>
      <c r="AR935" s="109"/>
      <c r="AS935" s="109"/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  <c r="BD935" s="109"/>
      <c r="BE935" s="109"/>
      <c r="BF935" s="109"/>
      <c r="BG935" s="109"/>
      <c r="BH935" s="109"/>
      <c r="BI935" s="109"/>
      <c r="BJ935" s="109"/>
      <c r="BK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63"/>
      <c r="J936" s="109"/>
      <c r="K936" s="109"/>
      <c r="L936" s="109"/>
      <c r="M936" s="109"/>
      <c r="N936" s="109"/>
      <c r="O936" s="164"/>
      <c r="P936" s="165"/>
      <c r="Q936" s="165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  <c r="AO936" s="109"/>
      <c r="AP936" s="109"/>
      <c r="AQ936" s="109"/>
      <c r="AR936" s="109"/>
      <c r="AS936" s="109"/>
      <c r="AT936" s="109"/>
      <c r="AU936" s="109"/>
      <c r="AV936" s="109"/>
      <c r="AW936" s="109"/>
      <c r="AX936" s="109"/>
      <c r="AY936" s="109"/>
      <c r="AZ936" s="109"/>
      <c r="BA936" s="109"/>
      <c r="BB936" s="109"/>
      <c r="BC936" s="109"/>
      <c r="BD936" s="109"/>
      <c r="BE936" s="109"/>
      <c r="BF936" s="109"/>
      <c r="BG936" s="109"/>
      <c r="BH936" s="109"/>
      <c r="BI936" s="109"/>
      <c r="BJ936" s="109"/>
      <c r="BK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63"/>
      <c r="J937" s="109"/>
      <c r="K937" s="109"/>
      <c r="L937" s="109"/>
      <c r="M937" s="109"/>
      <c r="N937" s="109"/>
      <c r="O937" s="164"/>
      <c r="P937" s="165"/>
      <c r="Q937" s="165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  <c r="AO937" s="109"/>
      <c r="AP937" s="109"/>
      <c r="AQ937" s="109"/>
      <c r="AR937" s="109"/>
      <c r="AS937" s="109"/>
      <c r="AT937" s="109"/>
      <c r="AU937" s="109"/>
      <c r="AV937" s="109"/>
      <c r="AW937" s="109"/>
      <c r="AX937" s="109"/>
      <c r="AY937" s="109"/>
      <c r="AZ937" s="109"/>
      <c r="BA937" s="109"/>
      <c r="BB937" s="109"/>
      <c r="BC937" s="109"/>
      <c r="BD937" s="109"/>
      <c r="BE937" s="109"/>
      <c r="BF937" s="109"/>
      <c r="BG937" s="109"/>
      <c r="BH937" s="109"/>
      <c r="BI937" s="109"/>
      <c r="BJ937" s="109"/>
      <c r="BK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63"/>
      <c r="J938" s="109"/>
      <c r="K938" s="109"/>
      <c r="L938" s="109"/>
      <c r="M938" s="109"/>
      <c r="N938" s="109"/>
      <c r="O938" s="164"/>
      <c r="P938" s="165"/>
      <c r="Q938" s="165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  <c r="AO938" s="109"/>
      <c r="AP938" s="109"/>
      <c r="AQ938" s="109"/>
      <c r="AR938" s="109"/>
      <c r="AS938" s="109"/>
      <c r="AT938" s="109"/>
      <c r="AU938" s="109"/>
      <c r="AV938" s="109"/>
      <c r="AW938" s="109"/>
      <c r="AX938" s="109"/>
      <c r="AY938" s="109"/>
      <c r="AZ938" s="109"/>
      <c r="BA938" s="109"/>
      <c r="BB938" s="109"/>
      <c r="BC938" s="109"/>
      <c r="BD938" s="109"/>
      <c r="BE938" s="109"/>
      <c r="BF938" s="109"/>
      <c r="BG938" s="109"/>
      <c r="BH938" s="109"/>
      <c r="BI938" s="109"/>
      <c r="BJ938" s="109"/>
      <c r="BK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63"/>
      <c r="J939" s="109"/>
      <c r="K939" s="109"/>
      <c r="L939" s="109"/>
      <c r="M939" s="109"/>
      <c r="N939" s="109"/>
      <c r="O939" s="164"/>
      <c r="P939" s="165"/>
      <c r="Q939" s="165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  <c r="AO939" s="109"/>
      <c r="AP939" s="109"/>
      <c r="AQ939" s="109"/>
      <c r="AR939" s="109"/>
      <c r="AS939" s="109"/>
      <c r="AT939" s="109"/>
      <c r="AU939" s="109"/>
      <c r="AV939" s="109"/>
      <c r="AW939" s="109"/>
      <c r="AX939" s="109"/>
      <c r="AY939" s="109"/>
      <c r="AZ939" s="109"/>
      <c r="BA939" s="109"/>
      <c r="BB939" s="109"/>
      <c r="BC939" s="109"/>
      <c r="BD939" s="109"/>
      <c r="BE939" s="109"/>
      <c r="BF939" s="109"/>
      <c r="BG939" s="109"/>
      <c r="BH939" s="109"/>
      <c r="BI939" s="109"/>
      <c r="BJ939" s="109"/>
      <c r="BK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63"/>
      <c r="J940" s="109"/>
      <c r="K940" s="109"/>
      <c r="L940" s="109"/>
      <c r="M940" s="109"/>
      <c r="N940" s="109"/>
      <c r="O940" s="164"/>
      <c r="P940" s="165"/>
      <c r="Q940" s="165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  <c r="AO940" s="109"/>
      <c r="AP940" s="109"/>
      <c r="AQ940" s="109"/>
      <c r="AR940" s="109"/>
      <c r="AS940" s="109"/>
      <c r="AT940" s="109"/>
      <c r="AU940" s="109"/>
      <c r="AV940" s="109"/>
      <c r="AW940" s="109"/>
      <c r="AX940" s="109"/>
      <c r="AY940" s="109"/>
      <c r="AZ940" s="109"/>
      <c r="BA940" s="109"/>
      <c r="BB940" s="109"/>
      <c r="BC940" s="109"/>
      <c r="BD940" s="109"/>
      <c r="BE940" s="109"/>
      <c r="BF940" s="109"/>
      <c r="BG940" s="109"/>
      <c r="BH940" s="109"/>
      <c r="BI940" s="109"/>
      <c r="BJ940" s="109"/>
      <c r="BK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63"/>
      <c r="J941" s="109"/>
      <c r="K941" s="109"/>
      <c r="L941" s="109"/>
      <c r="M941" s="109"/>
      <c r="N941" s="109"/>
      <c r="O941" s="164"/>
      <c r="P941" s="165"/>
      <c r="Q941" s="165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  <c r="AO941" s="109"/>
      <c r="AP941" s="109"/>
      <c r="AQ941" s="109"/>
      <c r="AR941" s="109"/>
      <c r="AS941" s="109"/>
      <c r="AT941" s="109"/>
      <c r="AU941" s="109"/>
      <c r="AV941" s="109"/>
      <c r="AW941" s="109"/>
      <c r="AX941" s="109"/>
      <c r="AY941" s="109"/>
      <c r="AZ941" s="109"/>
      <c r="BA941" s="109"/>
      <c r="BB941" s="109"/>
      <c r="BC941" s="109"/>
      <c r="BD941" s="109"/>
      <c r="BE941" s="109"/>
      <c r="BF941" s="109"/>
      <c r="BG941" s="109"/>
      <c r="BH941" s="109"/>
      <c r="BI941" s="109"/>
      <c r="BJ941" s="109"/>
      <c r="BK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63"/>
      <c r="J942" s="109"/>
      <c r="K942" s="109"/>
      <c r="L942" s="109"/>
      <c r="M942" s="109"/>
      <c r="N942" s="109"/>
      <c r="O942" s="164"/>
      <c r="P942" s="165"/>
      <c r="Q942" s="165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  <c r="AO942" s="109"/>
      <c r="AP942" s="109"/>
      <c r="AQ942" s="109"/>
      <c r="AR942" s="109"/>
      <c r="AS942" s="109"/>
      <c r="AT942" s="109"/>
      <c r="AU942" s="109"/>
      <c r="AV942" s="109"/>
      <c r="AW942" s="109"/>
      <c r="AX942" s="109"/>
      <c r="AY942" s="109"/>
      <c r="AZ942" s="109"/>
      <c r="BA942" s="109"/>
      <c r="BB942" s="109"/>
      <c r="BC942" s="109"/>
      <c r="BD942" s="109"/>
      <c r="BE942" s="109"/>
      <c r="BF942" s="109"/>
      <c r="BG942" s="109"/>
      <c r="BH942" s="109"/>
      <c r="BI942" s="109"/>
      <c r="BJ942" s="109"/>
      <c r="BK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63"/>
      <c r="J943" s="109"/>
      <c r="K943" s="109"/>
      <c r="L943" s="109"/>
      <c r="M943" s="109"/>
      <c r="N943" s="109"/>
      <c r="O943" s="164"/>
      <c r="P943" s="165"/>
      <c r="Q943" s="165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  <c r="AO943" s="109"/>
      <c r="AP943" s="109"/>
      <c r="AQ943" s="109"/>
      <c r="AR943" s="109"/>
      <c r="AS943" s="109"/>
      <c r="AT943" s="109"/>
      <c r="AU943" s="109"/>
      <c r="AV943" s="109"/>
      <c r="AW943" s="109"/>
      <c r="AX943" s="109"/>
      <c r="AY943" s="109"/>
      <c r="AZ943" s="109"/>
      <c r="BA943" s="109"/>
      <c r="BB943" s="109"/>
      <c r="BC943" s="109"/>
      <c r="BD943" s="109"/>
      <c r="BE943" s="109"/>
      <c r="BF943" s="109"/>
      <c r="BG943" s="109"/>
      <c r="BH943" s="109"/>
      <c r="BI943" s="109"/>
      <c r="BJ943" s="109"/>
      <c r="BK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63"/>
      <c r="J944" s="109"/>
      <c r="K944" s="109"/>
      <c r="L944" s="109"/>
      <c r="M944" s="109"/>
      <c r="N944" s="109"/>
      <c r="O944" s="164"/>
      <c r="P944" s="165"/>
      <c r="Q944" s="165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  <c r="AO944" s="109"/>
      <c r="AP944" s="109"/>
      <c r="AQ944" s="109"/>
      <c r="AR944" s="109"/>
      <c r="AS944" s="109"/>
      <c r="AT944" s="109"/>
      <c r="AU944" s="109"/>
      <c r="AV944" s="109"/>
      <c r="AW944" s="109"/>
      <c r="AX944" s="109"/>
      <c r="AY944" s="109"/>
      <c r="AZ944" s="109"/>
      <c r="BA944" s="109"/>
      <c r="BB944" s="109"/>
      <c r="BC944" s="109"/>
      <c r="BD944" s="109"/>
      <c r="BE944" s="109"/>
      <c r="BF944" s="109"/>
      <c r="BG944" s="109"/>
      <c r="BH944" s="109"/>
      <c r="BI944" s="109"/>
      <c r="BJ944" s="109"/>
      <c r="BK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63"/>
      <c r="J945" s="109"/>
      <c r="K945" s="109"/>
      <c r="L945" s="109"/>
      <c r="M945" s="109"/>
      <c r="N945" s="109"/>
      <c r="O945" s="164"/>
      <c r="P945" s="165"/>
      <c r="Q945" s="165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  <c r="AO945" s="109"/>
      <c r="AP945" s="109"/>
      <c r="AQ945" s="109"/>
      <c r="AR945" s="109"/>
      <c r="AS945" s="109"/>
      <c r="AT945" s="109"/>
      <c r="AU945" s="109"/>
      <c r="AV945" s="109"/>
      <c r="AW945" s="109"/>
      <c r="AX945" s="109"/>
      <c r="AY945" s="109"/>
      <c r="AZ945" s="109"/>
      <c r="BA945" s="109"/>
      <c r="BB945" s="109"/>
      <c r="BC945" s="109"/>
      <c r="BD945" s="109"/>
      <c r="BE945" s="109"/>
      <c r="BF945" s="109"/>
      <c r="BG945" s="109"/>
      <c r="BH945" s="109"/>
      <c r="BI945" s="109"/>
      <c r="BJ945" s="109"/>
      <c r="BK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63"/>
      <c r="J946" s="109"/>
      <c r="K946" s="109"/>
      <c r="L946" s="109"/>
      <c r="M946" s="109"/>
      <c r="N946" s="109"/>
      <c r="O946" s="164"/>
      <c r="P946" s="165"/>
      <c r="Q946" s="165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  <c r="AO946" s="109"/>
      <c r="AP946" s="109"/>
      <c r="AQ946" s="109"/>
      <c r="AR946" s="109"/>
      <c r="AS946" s="109"/>
      <c r="AT946" s="109"/>
      <c r="AU946" s="109"/>
      <c r="AV946" s="109"/>
      <c r="AW946" s="109"/>
      <c r="AX946" s="109"/>
      <c r="AY946" s="109"/>
      <c r="AZ946" s="109"/>
      <c r="BA946" s="109"/>
      <c r="BB946" s="109"/>
      <c r="BC946" s="109"/>
      <c r="BD946" s="109"/>
      <c r="BE946" s="109"/>
      <c r="BF946" s="109"/>
      <c r="BG946" s="109"/>
      <c r="BH946" s="109"/>
      <c r="BI946" s="109"/>
      <c r="BJ946" s="109"/>
      <c r="BK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63"/>
      <c r="J947" s="109"/>
      <c r="K947" s="109"/>
      <c r="L947" s="109"/>
      <c r="M947" s="109"/>
      <c r="N947" s="109"/>
      <c r="O947" s="164"/>
      <c r="P947" s="165"/>
      <c r="Q947" s="165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  <c r="AO947" s="109"/>
      <c r="AP947" s="109"/>
      <c r="AQ947" s="109"/>
      <c r="AR947" s="109"/>
      <c r="AS947" s="109"/>
      <c r="AT947" s="109"/>
      <c r="AU947" s="109"/>
      <c r="AV947" s="109"/>
      <c r="AW947" s="109"/>
      <c r="AX947" s="109"/>
      <c r="AY947" s="109"/>
      <c r="AZ947" s="109"/>
      <c r="BA947" s="109"/>
      <c r="BB947" s="109"/>
      <c r="BC947" s="109"/>
      <c r="BD947" s="109"/>
      <c r="BE947" s="109"/>
      <c r="BF947" s="109"/>
      <c r="BG947" s="109"/>
      <c r="BH947" s="109"/>
      <c r="BI947" s="109"/>
      <c r="BJ947" s="109"/>
      <c r="BK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63"/>
      <c r="J948" s="109"/>
      <c r="K948" s="109"/>
      <c r="L948" s="109"/>
      <c r="M948" s="109"/>
      <c r="N948" s="109"/>
      <c r="O948" s="164"/>
      <c r="P948" s="165"/>
      <c r="Q948" s="165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  <c r="AO948" s="109"/>
      <c r="AP948" s="109"/>
      <c r="AQ948" s="109"/>
      <c r="AR948" s="109"/>
      <c r="AS948" s="109"/>
      <c r="AT948" s="109"/>
      <c r="AU948" s="109"/>
      <c r="AV948" s="109"/>
      <c r="AW948" s="109"/>
      <c r="AX948" s="109"/>
      <c r="AY948" s="109"/>
      <c r="AZ948" s="109"/>
      <c r="BA948" s="109"/>
      <c r="BB948" s="109"/>
      <c r="BC948" s="109"/>
      <c r="BD948" s="109"/>
      <c r="BE948" s="109"/>
      <c r="BF948" s="109"/>
      <c r="BG948" s="109"/>
      <c r="BH948" s="109"/>
      <c r="BI948" s="109"/>
      <c r="BJ948" s="109"/>
      <c r="BK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63"/>
      <c r="J949" s="109"/>
      <c r="K949" s="109"/>
      <c r="L949" s="109"/>
      <c r="M949" s="109"/>
      <c r="N949" s="109"/>
      <c r="O949" s="164"/>
      <c r="P949" s="165"/>
      <c r="Q949" s="165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  <c r="AO949" s="109"/>
      <c r="AP949" s="109"/>
      <c r="AQ949" s="109"/>
      <c r="AR949" s="109"/>
      <c r="AS949" s="109"/>
      <c r="AT949" s="109"/>
      <c r="AU949" s="109"/>
      <c r="AV949" s="109"/>
      <c r="AW949" s="109"/>
      <c r="AX949" s="109"/>
      <c r="AY949" s="109"/>
      <c r="AZ949" s="109"/>
      <c r="BA949" s="109"/>
      <c r="BB949" s="109"/>
      <c r="BC949" s="109"/>
      <c r="BD949" s="109"/>
      <c r="BE949" s="109"/>
      <c r="BF949" s="109"/>
      <c r="BG949" s="109"/>
      <c r="BH949" s="109"/>
      <c r="BI949" s="109"/>
      <c r="BJ949" s="109"/>
      <c r="BK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63"/>
      <c r="J950" s="109"/>
      <c r="K950" s="109"/>
      <c r="L950" s="109"/>
      <c r="M950" s="109"/>
      <c r="N950" s="109"/>
      <c r="O950" s="164"/>
      <c r="P950" s="165"/>
      <c r="Q950" s="165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  <c r="AO950" s="109"/>
      <c r="AP950" s="109"/>
      <c r="AQ950" s="109"/>
      <c r="AR950" s="109"/>
      <c r="AS950" s="109"/>
      <c r="AT950" s="109"/>
      <c r="AU950" s="109"/>
      <c r="AV950" s="109"/>
      <c r="AW950" s="109"/>
      <c r="AX950" s="109"/>
      <c r="AY950" s="109"/>
      <c r="AZ950" s="109"/>
      <c r="BA950" s="109"/>
      <c r="BB950" s="109"/>
      <c r="BC950" s="109"/>
      <c r="BD950" s="109"/>
      <c r="BE950" s="109"/>
      <c r="BF950" s="109"/>
      <c r="BG950" s="109"/>
      <c r="BH950" s="109"/>
      <c r="BI950" s="109"/>
      <c r="BJ950" s="109"/>
      <c r="BK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63"/>
      <c r="J951" s="109"/>
      <c r="K951" s="109"/>
      <c r="L951" s="109"/>
      <c r="M951" s="109"/>
      <c r="N951" s="109"/>
      <c r="O951" s="164"/>
      <c r="P951" s="165"/>
      <c r="Q951" s="165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  <c r="AO951" s="109"/>
      <c r="AP951" s="109"/>
      <c r="AQ951" s="109"/>
      <c r="AR951" s="109"/>
      <c r="AS951" s="109"/>
      <c r="AT951" s="109"/>
      <c r="AU951" s="109"/>
      <c r="AV951" s="109"/>
      <c r="AW951" s="109"/>
      <c r="AX951" s="109"/>
      <c r="AY951" s="109"/>
      <c r="AZ951" s="109"/>
      <c r="BA951" s="109"/>
      <c r="BB951" s="109"/>
      <c r="BC951" s="109"/>
      <c r="BD951" s="109"/>
      <c r="BE951" s="109"/>
      <c r="BF951" s="109"/>
      <c r="BG951" s="109"/>
      <c r="BH951" s="109"/>
      <c r="BI951" s="109"/>
      <c r="BJ951" s="109"/>
      <c r="BK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63"/>
      <c r="J952" s="109"/>
      <c r="K952" s="109"/>
      <c r="L952" s="109"/>
      <c r="M952" s="109"/>
      <c r="N952" s="109"/>
      <c r="O952" s="164"/>
      <c r="P952" s="165"/>
      <c r="Q952" s="165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  <c r="AO952" s="109"/>
      <c r="AP952" s="109"/>
      <c r="AQ952" s="109"/>
      <c r="AR952" s="109"/>
      <c r="AS952" s="109"/>
      <c r="AT952" s="109"/>
      <c r="AU952" s="109"/>
      <c r="AV952" s="109"/>
      <c r="AW952" s="109"/>
      <c r="AX952" s="109"/>
      <c r="AY952" s="109"/>
      <c r="AZ952" s="109"/>
      <c r="BA952" s="109"/>
      <c r="BB952" s="109"/>
      <c r="BC952" s="109"/>
      <c r="BD952" s="109"/>
      <c r="BE952" s="109"/>
      <c r="BF952" s="109"/>
      <c r="BG952" s="109"/>
      <c r="BH952" s="109"/>
      <c r="BI952" s="109"/>
      <c r="BJ952" s="109"/>
      <c r="BK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63"/>
      <c r="J953" s="109"/>
      <c r="K953" s="109"/>
      <c r="L953" s="109"/>
      <c r="M953" s="109"/>
      <c r="N953" s="109"/>
      <c r="O953" s="164"/>
      <c r="P953" s="165"/>
      <c r="Q953" s="165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  <c r="AO953" s="109"/>
      <c r="AP953" s="109"/>
      <c r="AQ953" s="109"/>
      <c r="AR953" s="109"/>
      <c r="AS953" s="109"/>
      <c r="AT953" s="109"/>
      <c r="AU953" s="109"/>
      <c r="AV953" s="109"/>
      <c r="AW953" s="109"/>
      <c r="AX953" s="109"/>
      <c r="AY953" s="109"/>
      <c r="AZ953" s="109"/>
      <c r="BA953" s="109"/>
      <c r="BB953" s="109"/>
      <c r="BC953" s="109"/>
      <c r="BD953" s="109"/>
      <c r="BE953" s="109"/>
      <c r="BF953" s="109"/>
      <c r="BG953" s="109"/>
      <c r="BH953" s="109"/>
      <c r="BI953" s="109"/>
      <c r="BJ953" s="109"/>
      <c r="BK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63"/>
      <c r="J954" s="109"/>
      <c r="K954" s="109"/>
      <c r="L954" s="109"/>
      <c r="M954" s="109"/>
      <c r="N954" s="109"/>
      <c r="O954" s="164"/>
      <c r="P954" s="165"/>
      <c r="Q954" s="165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  <c r="AO954" s="109"/>
      <c r="AP954" s="109"/>
      <c r="AQ954" s="109"/>
      <c r="AR954" s="109"/>
      <c r="AS954" s="109"/>
      <c r="AT954" s="109"/>
      <c r="AU954" s="109"/>
      <c r="AV954" s="109"/>
      <c r="AW954" s="109"/>
      <c r="AX954" s="109"/>
      <c r="AY954" s="109"/>
      <c r="AZ954" s="109"/>
      <c r="BA954" s="109"/>
      <c r="BB954" s="109"/>
      <c r="BC954" s="109"/>
      <c r="BD954" s="109"/>
      <c r="BE954" s="109"/>
      <c r="BF954" s="109"/>
      <c r="BG954" s="109"/>
      <c r="BH954" s="109"/>
      <c r="BI954" s="109"/>
      <c r="BJ954" s="109"/>
      <c r="BK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63"/>
      <c r="J955" s="109"/>
      <c r="K955" s="109"/>
      <c r="L955" s="109"/>
      <c r="M955" s="109"/>
      <c r="N955" s="109"/>
      <c r="O955" s="164"/>
      <c r="P955" s="165"/>
      <c r="Q955" s="165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  <c r="AO955" s="109"/>
      <c r="AP955" s="109"/>
      <c r="AQ955" s="109"/>
      <c r="AR955" s="109"/>
      <c r="AS955" s="109"/>
      <c r="AT955" s="109"/>
      <c r="AU955" s="109"/>
      <c r="AV955" s="109"/>
      <c r="AW955" s="109"/>
      <c r="AX955" s="109"/>
      <c r="AY955" s="109"/>
      <c r="AZ955" s="109"/>
      <c r="BA955" s="109"/>
      <c r="BB955" s="109"/>
      <c r="BC955" s="109"/>
      <c r="BD955" s="109"/>
      <c r="BE955" s="109"/>
      <c r="BF955" s="109"/>
      <c r="BG955" s="109"/>
      <c r="BH955" s="109"/>
      <c r="BI955" s="109"/>
      <c r="BJ955" s="109"/>
      <c r="BK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63"/>
      <c r="J956" s="109"/>
      <c r="K956" s="109"/>
      <c r="L956" s="109"/>
      <c r="M956" s="109"/>
      <c r="N956" s="109"/>
      <c r="O956" s="164"/>
      <c r="P956" s="165"/>
      <c r="Q956" s="165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  <c r="AO956" s="109"/>
      <c r="AP956" s="109"/>
      <c r="AQ956" s="109"/>
      <c r="AR956" s="109"/>
      <c r="AS956" s="109"/>
      <c r="AT956" s="109"/>
      <c r="AU956" s="109"/>
      <c r="AV956" s="109"/>
      <c r="AW956" s="109"/>
      <c r="AX956" s="109"/>
      <c r="AY956" s="109"/>
      <c r="AZ956" s="109"/>
      <c r="BA956" s="109"/>
      <c r="BB956" s="109"/>
      <c r="BC956" s="109"/>
      <c r="BD956" s="109"/>
      <c r="BE956" s="109"/>
      <c r="BF956" s="109"/>
      <c r="BG956" s="109"/>
      <c r="BH956" s="109"/>
      <c r="BI956" s="109"/>
      <c r="BJ956" s="109"/>
      <c r="BK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63"/>
      <c r="J957" s="109"/>
      <c r="K957" s="109"/>
      <c r="L957" s="109"/>
      <c r="M957" s="109"/>
      <c r="N957" s="109"/>
      <c r="O957" s="164"/>
      <c r="P957" s="165"/>
      <c r="Q957" s="165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  <c r="AO957" s="109"/>
      <c r="AP957" s="109"/>
      <c r="AQ957" s="109"/>
      <c r="AR957" s="109"/>
      <c r="AS957" s="109"/>
      <c r="AT957" s="109"/>
      <c r="AU957" s="109"/>
      <c r="AV957" s="109"/>
      <c r="AW957" s="109"/>
      <c r="AX957" s="109"/>
      <c r="AY957" s="109"/>
      <c r="AZ957" s="109"/>
      <c r="BA957" s="109"/>
      <c r="BB957" s="109"/>
      <c r="BC957" s="109"/>
      <c r="BD957" s="109"/>
      <c r="BE957" s="109"/>
      <c r="BF957" s="109"/>
      <c r="BG957" s="109"/>
      <c r="BH957" s="109"/>
      <c r="BI957" s="109"/>
      <c r="BJ957" s="109"/>
      <c r="BK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63"/>
      <c r="J958" s="109"/>
      <c r="K958" s="109"/>
      <c r="L958" s="109"/>
      <c r="M958" s="109"/>
      <c r="N958" s="109"/>
      <c r="O958" s="164"/>
      <c r="P958" s="165"/>
      <c r="Q958" s="165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  <c r="AO958" s="109"/>
      <c r="AP958" s="109"/>
      <c r="AQ958" s="109"/>
      <c r="AR958" s="109"/>
      <c r="AS958" s="109"/>
      <c r="AT958" s="109"/>
      <c r="AU958" s="109"/>
      <c r="AV958" s="109"/>
      <c r="AW958" s="109"/>
      <c r="AX958" s="109"/>
      <c r="AY958" s="109"/>
      <c r="AZ958" s="109"/>
      <c r="BA958" s="109"/>
      <c r="BB958" s="109"/>
      <c r="BC958" s="109"/>
      <c r="BD958" s="109"/>
      <c r="BE958" s="109"/>
      <c r="BF958" s="109"/>
      <c r="BG958" s="109"/>
      <c r="BH958" s="109"/>
      <c r="BI958" s="109"/>
      <c r="BJ958" s="109"/>
      <c r="BK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63"/>
      <c r="J959" s="109"/>
      <c r="K959" s="109"/>
      <c r="L959" s="109"/>
      <c r="M959" s="109"/>
      <c r="N959" s="109"/>
      <c r="O959" s="164"/>
      <c r="P959" s="165"/>
      <c r="Q959" s="165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  <c r="AO959" s="109"/>
      <c r="AP959" s="109"/>
      <c r="AQ959" s="109"/>
      <c r="AR959" s="109"/>
      <c r="AS959" s="109"/>
      <c r="AT959" s="109"/>
      <c r="AU959" s="109"/>
      <c r="AV959" s="109"/>
      <c r="AW959" s="109"/>
      <c r="AX959" s="109"/>
      <c r="AY959" s="109"/>
      <c r="AZ959" s="109"/>
      <c r="BA959" s="109"/>
      <c r="BB959" s="109"/>
      <c r="BC959" s="109"/>
      <c r="BD959" s="109"/>
      <c r="BE959" s="109"/>
      <c r="BF959" s="109"/>
      <c r="BG959" s="109"/>
      <c r="BH959" s="109"/>
      <c r="BI959" s="109"/>
      <c r="BJ959" s="109"/>
      <c r="BK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63"/>
      <c r="J960" s="109"/>
      <c r="K960" s="109"/>
      <c r="L960" s="109"/>
      <c r="M960" s="109"/>
      <c r="N960" s="109"/>
      <c r="O960" s="164"/>
      <c r="P960" s="165"/>
      <c r="Q960" s="165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  <c r="AO960" s="109"/>
      <c r="AP960" s="109"/>
      <c r="AQ960" s="109"/>
      <c r="AR960" s="109"/>
      <c r="AS960" s="109"/>
      <c r="AT960" s="109"/>
      <c r="AU960" s="109"/>
      <c r="AV960" s="109"/>
      <c r="AW960" s="109"/>
      <c r="AX960" s="109"/>
      <c r="AY960" s="109"/>
      <c r="AZ960" s="109"/>
      <c r="BA960" s="109"/>
      <c r="BB960" s="109"/>
      <c r="BC960" s="109"/>
      <c r="BD960" s="109"/>
      <c r="BE960" s="109"/>
      <c r="BF960" s="109"/>
      <c r="BG960" s="109"/>
      <c r="BH960" s="109"/>
      <c r="BI960" s="109"/>
      <c r="BJ960" s="109"/>
      <c r="BK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63"/>
      <c r="J961" s="109"/>
      <c r="K961" s="109"/>
      <c r="L961" s="109"/>
      <c r="M961" s="109"/>
      <c r="N961" s="109"/>
      <c r="O961" s="164"/>
      <c r="P961" s="165"/>
      <c r="Q961" s="165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  <c r="AO961" s="109"/>
      <c r="AP961" s="109"/>
      <c r="AQ961" s="109"/>
      <c r="AR961" s="109"/>
      <c r="AS961" s="109"/>
      <c r="AT961" s="109"/>
      <c r="AU961" s="109"/>
      <c r="AV961" s="109"/>
      <c r="AW961" s="109"/>
      <c r="AX961" s="109"/>
      <c r="AY961" s="109"/>
      <c r="AZ961" s="109"/>
      <c r="BA961" s="109"/>
      <c r="BB961" s="109"/>
      <c r="BC961" s="109"/>
      <c r="BD961" s="109"/>
      <c r="BE961" s="109"/>
      <c r="BF961" s="109"/>
      <c r="BG961" s="109"/>
      <c r="BH961" s="109"/>
      <c r="BI961" s="109"/>
      <c r="BJ961" s="109"/>
      <c r="BK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63"/>
      <c r="J962" s="109"/>
      <c r="K962" s="109"/>
      <c r="L962" s="109"/>
      <c r="M962" s="109"/>
      <c r="N962" s="109"/>
      <c r="O962" s="164"/>
      <c r="P962" s="165"/>
      <c r="Q962" s="165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  <c r="AO962" s="109"/>
      <c r="AP962" s="109"/>
      <c r="AQ962" s="109"/>
      <c r="AR962" s="109"/>
      <c r="AS962" s="109"/>
      <c r="AT962" s="109"/>
      <c r="AU962" s="109"/>
      <c r="AV962" s="109"/>
      <c r="AW962" s="109"/>
      <c r="AX962" s="109"/>
      <c r="AY962" s="109"/>
      <c r="AZ962" s="109"/>
      <c r="BA962" s="109"/>
      <c r="BB962" s="109"/>
      <c r="BC962" s="109"/>
      <c r="BD962" s="109"/>
      <c r="BE962" s="109"/>
      <c r="BF962" s="109"/>
      <c r="BG962" s="109"/>
      <c r="BH962" s="109"/>
      <c r="BI962" s="109"/>
      <c r="BJ962" s="109"/>
      <c r="BK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63"/>
      <c r="J963" s="109"/>
      <c r="K963" s="109"/>
      <c r="L963" s="109"/>
      <c r="M963" s="109"/>
      <c r="N963" s="109"/>
      <c r="O963" s="164"/>
      <c r="P963" s="165"/>
      <c r="Q963" s="165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  <c r="AO963" s="109"/>
      <c r="AP963" s="109"/>
      <c r="AQ963" s="109"/>
      <c r="AR963" s="109"/>
      <c r="AS963" s="109"/>
      <c r="AT963" s="109"/>
      <c r="AU963" s="109"/>
      <c r="AV963" s="109"/>
      <c r="AW963" s="109"/>
      <c r="AX963" s="109"/>
      <c r="AY963" s="109"/>
      <c r="AZ963" s="109"/>
      <c r="BA963" s="109"/>
      <c r="BB963" s="109"/>
      <c r="BC963" s="109"/>
      <c r="BD963" s="109"/>
      <c r="BE963" s="109"/>
      <c r="BF963" s="109"/>
      <c r="BG963" s="109"/>
      <c r="BH963" s="109"/>
      <c r="BI963" s="109"/>
      <c r="BJ963" s="109"/>
      <c r="BK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63"/>
      <c r="J964" s="109"/>
      <c r="K964" s="109"/>
      <c r="L964" s="109"/>
      <c r="M964" s="109"/>
      <c r="N964" s="109"/>
      <c r="O964" s="164"/>
      <c r="P964" s="165"/>
      <c r="Q964" s="165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  <c r="AO964" s="109"/>
      <c r="AP964" s="109"/>
      <c r="AQ964" s="109"/>
      <c r="AR964" s="109"/>
      <c r="AS964" s="109"/>
      <c r="AT964" s="109"/>
      <c r="AU964" s="109"/>
      <c r="AV964" s="109"/>
      <c r="AW964" s="109"/>
      <c r="AX964" s="109"/>
      <c r="AY964" s="109"/>
      <c r="AZ964" s="109"/>
      <c r="BA964" s="109"/>
      <c r="BB964" s="109"/>
      <c r="BC964" s="109"/>
      <c r="BD964" s="109"/>
      <c r="BE964" s="109"/>
      <c r="BF964" s="109"/>
      <c r="BG964" s="109"/>
      <c r="BH964" s="109"/>
      <c r="BI964" s="109"/>
      <c r="BJ964" s="109"/>
      <c r="BK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63"/>
      <c r="J965" s="109"/>
      <c r="K965" s="109"/>
      <c r="L965" s="109"/>
      <c r="M965" s="109"/>
      <c r="N965" s="109"/>
      <c r="O965" s="164"/>
      <c r="P965" s="165"/>
      <c r="Q965" s="165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  <c r="AO965" s="109"/>
      <c r="AP965" s="109"/>
      <c r="AQ965" s="109"/>
      <c r="AR965" s="109"/>
      <c r="AS965" s="109"/>
      <c r="AT965" s="109"/>
      <c r="AU965" s="109"/>
      <c r="AV965" s="109"/>
      <c r="AW965" s="109"/>
      <c r="AX965" s="109"/>
      <c r="AY965" s="109"/>
      <c r="AZ965" s="109"/>
      <c r="BA965" s="109"/>
      <c r="BB965" s="109"/>
      <c r="BC965" s="109"/>
      <c r="BD965" s="109"/>
      <c r="BE965" s="109"/>
      <c r="BF965" s="109"/>
      <c r="BG965" s="109"/>
      <c r="BH965" s="109"/>
      <c r="BI965" s="109"/>
      <c r="BJ965" s="109"/>
      <c r="BK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63"/>
      <c r="J966" s="109"/>
      <c r="K966" s="109"/>
      <c r="L966" s="109"/>
      <c r="M966" s="109"/>
      <c r="N966" s="109"/>
      <c r="O966" s="164"/>
      <c r="P966" s="165"/>
      <c r="Q966" s="165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  <c r="AO966" s="109"/>
      <c r="AP966" s="109"/>
      <c r="AQ966" s="109"/>
      <c r="AR966" s="109"/>
      <c r="AS966" s="109"/>
      <c r="AT966" s="109"/>
      <c r="AU966" s="109"/>
      <c r="AV966" s="109"/>
      <c r="AW966" s="109"/>
      <c r="AX966" s="109"/>
      <c r="AY966" s="109"/>
      <c r="AZ966" s="109"/>
      <c r="BA966" s="109"/>
      <c r="BB966" s="109"/>
      <c r="BC966" s="109"/>
      <c r="BD966" s="109"/>
      <c r="BE966" s="109"/>
      <c r="BF966" s="109"/>
      <c r="BG966" s="109"/>
      <c r="BH966" s="109"/>
      <c r="BI966" s="109"/>
      <c r="BJ966" s="109"/>
      <c r="BK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63"/>
      <c r="J967" s="109"/>
      <c r="K967" s="109"/>
      <c r="L967" s="109"/>
      <c r="M967" s="109"/>
      <c r="N967" s="109"/>
      <c r="O967" s="164"/>
      <c r="P967" s="165"/>
      <c r="Q967" s="165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  <c r="AO967" s="109"/>
      <c r="AP967" s="109"/>
      <c r="AQ967" s="109"/>
      <c r="AR967" s="109"/>
      <c r="AS967" s="109"/>
      <c r="AT967" s="109"/>
      <c r="AU967" s="109"/>
      <c r="AV967" s="109"/>
      <c r="AW967" s="109"/>
      <c r="AX967" s="109"/>
      <c r="AY967" s="109"/>
      <c r="AZ967" s="109"/>
      <c r="BA967" s="109"/>
      <c r="BB967" s="109"/>
      <c r="BC967" s="109"/>
      <c r="BD967" s="109"/>
      <c r="BE967" s="109"/>
      <c r="BF967" s="109"/>
      <c r="BG967" s="109"/>
      <c r="BH967" s="109"/>
      <c r="BI967" s="109"/>
      <c r="BJ967" s="109"/>
      <c r="BK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63"/>
      <c r="J968" s="109"/>
      <c r="K968" s="109"/>
      <c r="L968" s="109"/>
      <c r="M968" s="109"/>
      <c r="N968" s="109"/>
      <c r="O968" s="164"/>
      <c r="P968" s="165"/>
      <c r="Q968" s="165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  <c r="AO968" s="109"/>
      <c r="AP968" s="109"/>
      <c r="AQ968" s="109"/>
      <c r="AR968" s="109"/>
      <c r="AS968" s="109"/>
      <c r="AT968" s="109"/>
      <c r="AU968" s="109"/>
      <c r="AV968" s="109"/>
      <c r="AW968" s="109"/>
      <c r="AX968" s="109"/>
      <c r="AY968" s="109"/>
      <c r="AZ968" s="109"/>
      <c r="BA968" s="109"/>
      <c r="BB968" s="109"/>
      <c r="BC968" s="109"/>
      <c r="BD968" s="109"/>
      <c r="BE968" s="109"/>
      <c r="BF968" s="109"/>
      <c r="BG968" s="109"/>
      <c r="BH968" s="109"/>
      <c r="BI968" s="109"/>
      <c r="BJ968" s="109"/>
      <c r="BK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63"/>
      <c r="J969" s="109"/>
      <c r="K969" s="109"/>
      <c r="L969" s="109"/>
      <c r="M969" s="109"/>
      <c r="N969" s="109"/>
      <c r="O969" s="164"/>
      <c r="P969" s="165"/>
      <c r="Q969" s="165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  <c r="AO969" s="109"/>
      <c r="AP969" s="109"/>
      <c r="AQ969" s="109"/>
      <c r="AR969" s="109"/>
      <c r="AS969" s="109"/>
      <c r="AT969" s="109"/>
      <c r="AU969" s="109"/>
      <c r="AV969" s="109"/>
      <c r="AW969" s="109"/>
      <c r="AX969" s="109"/>
      <c r="AY969" s="109"/>
      <c r="AZ969" s="109"/>
      <c r="BA969" s="109"/>
      <c r="BB969" s="109"/>
      <c r="BC969" s="109"/>
      <c r="BD969" s="109"/>
      <c r="BE969" s="109"/>
      <c r="BF969" s="109"/>
      <c r="BG969" s="109"/>
      <c r="BH969" s="109"/>
      <c r="BI969" s="109"/>
      <c r="BJ969" s="109"/>
      <c r="BK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63"/>
      <c r="J970" s="109"/>
      <c r="K970" s="109"/>
      <c r="L970" s="109"/>
      <c r="M970" s="109"/>
      <c r="N970" s="109"/>
      <c r="O970" s="164"/>
      <c r="P970" s="165"/>
      <c r="Q970" s="165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  <c r="AO970" s="109"/>
      <c r="AP970" s="109"/>
      <c r="AQ970" s="109"/>
      <c r="AR970" s="109"/>
      <c r="AS970" s="109"/>
      <c r="AT970" s="109"/>
      <c r="AU970" s="109"/>
      <c r="AV970" s="109"/>
      <c r="AW970" s="109"/>
      <c r="AX970" s="109"/>
      <c r="AY970" s="109"/>
      <c r="AZ970" s="109"/>
      <c r="BA970" s="109"/>
      <c r="BB970" s="109"/>
      <c r="BC970" s="109"/>
      <c r="BD970" s="109"/>
      <c r="BE970" s="109"/>
      <c r="BF970" s="109"/>
      <c r="BG970" s="109"/>
      <c r="BH970" s="109"/>
      <c r="BI970" s="109"/>
      <c r="BJ970" s="109"/>
      <c r="BK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63"/>
      <c r="J971" s="109"/>
      <c r="K971" s="109"/>
      <c r="L971" s="109"/>
      <c r="M971" s="109"/>
      <c r="N971" s="109"/>
      <c r="O971" s="164"/>
      <c r="P971" s="165"/>
      <c r="Q971" s="165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  <c r="AO971" s="109"/>
      <c r="AP971" s="109"/>
      <c r="AQ971" s="109"/>
      <c r="AR971" s="109"/>
      <c r="AS971" s="109"/>
      <c r="AT971" s="109"/>
      <c r="AU971" s="109"/>
      <c r="AV971" s="109"/>
      <c r="AW971" s="109"/>
      <c r="AX971" s="109"/>
      <c r="AY971" s="109"/>
      <c r="AZ971" s="109"/>
      <c r="BA971" s="109"/>
      <c r="BB971" s="109"/>
      <c r="BC971" s="109"/>
      <c r="BD971" s="109"/>
      <c r="BE971" s="109"/>
      <c r="BF971" s="109"/>
      <c r="BG971" s="109"/>
      <c r="BH971" s="109"/>
      <c r="BI971" s="109"/>
      <c r="BJ971" s="109"/>
      <c r="BK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63"/>
      <c r="J972" s="109"/>
      <c r="K972" s="109"/>
      <c r="L972" s="109"/>
      <c r="M972" s="109"/>
      <c r="N972" s="109"/>
      <c r="O972" s="164"/>
      <c r="P972" s="165"/>
      <c r="Q972" s="165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  <c r="AO972" s="109"/>
      <c r="AP972" s="109"/>
      <c r="AQ972" s="109"/>
      <c r="AR972" s="109"/>
      <c r="AS972" s="109"/>
      <c r="AT972" s="109"/>
      <c r="AU972" s="109"/>
      <c r="AV972" s="109"/>
      <c r="AW972" s="109"/>
      <c r="AX972" s="109"/>
      <c r="AY972" s="109"/>
      <c r="AZ972" s="109"/>
      <c r="BA972" s="109"/>
      <c r="BB972" s="109"/>
      <c r="BC972" s="109"/>
      <c r="BD972" s="109"/>
      <c r="BE972" s="109"/>
      <c r="BF972" s="109"/>
      <c r="BG972" s="109"/>
      <c r="BH972" s="109"/>
      <c r="BI972" s="109"/>
      <c r="BJ972" s="109"/>
      <c r="BK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63"/>
      <c r="J973" s="109"/>
      <c r="K973" s="109"/>
      <c r="L973" s="109"/>
      <c r="M973" s="109"/>
      <c r="N973" s="109"/>
      <c r="O973" s="164"/>
      <c r="P973" s="165"/>
      <c r="Q973" s="165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  <c r="AO973" s="109"/>
      <c r="AP973" s="109"/>
      <c r="AQ973" s="109"/>
      <c r="AR973" s="109"/>
      <c r="AS973" s="109"/>
      <c r="AT973" s="109"/>
      <c r="AU973" s="109"/>
      <c r="AV973" s="109"/>
      <c r="AW973" s="109"/>
      <c r="AX973" s="109"/>
      <c r="AY973" s="109"/>
      <c r="AZ973" s="109"/>
      <c r="BA973" s="109"/>
      <c r="BB973" s="109"/>
      <c r="BC973" s="109"/>
      <c r="BD973" s="109"/>
      <c r="BE973" s="109"/>
      <c r="BF973" s="109"/>
      <c r="BG973" s="109"/>
      <c r="BH973" s="109"/>
      <c r="BI973" s="109"/>
      <c r="BJ973" s="109"/>
      <c r="BK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63"/>
      <c r="J974" s="109"/>
      <c r="K974" s="109"/>
      <c r="L974" s="109"/>
      <c r="M974" s="109"/>
      <c r="N974" s="109"/>
      <c r="O974" s="164"/>
      <c r="P974" s="165"/>
      <c r="Q974" s="165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  <c r="AO974" s="109"/>
      <c r="AP974" s="109"/>
      <c r="AQ974" s="109"/>
      <c r="AR974" s="109"/>
      <c r="AS974" s="109"/>
      <c r="AT974" s="109"/>
      <c r="AU974" s="109"/>
      <c r="AV974" s="109"/>
      <c r="AW974" s="109"/>
      <c r="AX974" s="109"/>
      <c r="AY974" s="109"/>
      <c r="AZ974" s="109"/>
      <c r="BA974" s="109"/>
      <c r="BB974" s="109"/>
      <c r="BC974" s="109"/>
      <c r="BD974" s="109"/>
      <c r="BE974" s="109"/>
      <c r="BF974" s="109"/>
      <c r="BG974" s="109"/>
      <c r="BH974" s="109"/>
      <c r="BI974" s="109"/>
      <c r="BJ974" s="109"/>
      <c r="BK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63"/>
      <c r="J975" s="109"/>
      <c r="K975" s="109"/>
      <c r="L975" s="109"/>
      <c r="M975" s="109"/>
      <c r="N975" s="109"/>
      <c r="O975" s="164"/>
      <c r="P975" s="165"/>
      <c r="Q975" s="165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  <c r="AO975" s="109"/>
      <c r="AP975" s="109"/>
      <c r="AQ975" s="109"/>
      <c r="AR975" s="109"/>
      <c r="AS975" s="109"/>
      <c r="AT975" s="109"/>
      <c r="AU975" s="109"/>
      <c r="AV975" s="109"/>
      <c r="AW975" s="109"/>
      <c r="AX975" s="109"/>
      <c r="AY975" s="109"/>
      <c r="AZ975" s="109"/>
      <c r="BA975" s="109"/>
      <c r="BB975" s="109"/>
      <c r="BC975" s="109"/>
      <c r="BD975" s="109"/>
      <c r="BE975" s="109"/>
      <c r="BF975" s="109"/>
      <c r="BG975" s="109"/>
      <c r="BH975" s="109"/>
      <c r="BI975" s="109"/>
      <c r="BJ975" s="109"/>
      <c r="BK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63"/>
      <c r="J976" s="109"/>
      <c r="K976" s="109"/>
      <c r="L976" s="109"/>
      <c r="M976" s="109"/>
      <c r="N976" s="109"/>
      <c r="O976" s="164"/>
      <c r="P976" s="165"/>
      <c r="Q976" s="165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  <c r="AO976" s="109"/>
      <c r="AP976" s="109"/>
      <c r="AQ976" s="109"/>
      <c r="AR976" s="109"/>
      <c r="AS976" s="109"/>
      <c r="AT976" s="109"/>
      <c r="AU976" s="109"/>
      <c r="AV976" s="109"/>
      <c r="AW976" s="109"/>
      <c r="AX976" s="109"/>
      <c r="AY976" s="109"/>
      <c r="AZ976" s="109"/>
      <c r="BA976" s="109"/>
      <c r="BB976" s="109"/>
      <c r="BC976" s="109"/>
      <c r="BD976" s="109"/>
      <c r="BE976" s="109"/>
      <c r="BF976" s="109"/>
      <c r="BG976" s="109"/>
      <c r="BH976" s="109"/>
      <c r="BI976" s="109"/>
      <c r="BJ976" s="109"/>
      <c r="BK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63"/>
      <c r="J977" s="109"/>
      <c r="K977" s="109"/>
      <c r="L977" s="109"/>
      <c r="M977" s="109"/>
      <c r="N977" s="109"/>
      <c r="O977" s="164"/>
      <c r="P977" s="165"/>
      <c r="Q977" s="165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  <c r="AO977" s="109"/>
      <c r="AP977" s="109"/>
      <c r="AQ977" s="109"/>
      <c r="AR977" s="109"/>
      <c r="AS977" s="109"/>
      <c r="AT977" s="109"/>
      <c r="AU977" s="109"/>
      <c r="AV977" s="109"/>
      <c r="AW977" s="109"/>
      <c r="AX977" s="109"/>
      <c r="AY977" s="109"/>
      <c r="AZ977" s="109"/>
      <c r="BA977" s="109"/>
      <c r="BB977" s="109"/>
      <c r="BC977" s="109"/>
      <c r="BD977" s="109"/>
      <c r="BE977" s="109"/>
      <c r="BF977" s="109"/>
      <c r="BG977" s="109"/>
      <c r="BH977" s="109"/>
      <c r="BI977" s="109"/>
      <c r="BJ977" s="109"/>
      <c r="BK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63"/>
      <c r="J978" s="109"/>
      <c r="K978" s="109"/>
      <c r="L978" s="109"/>
      <c r="M978" s="109"/>
      <c r="N978" s="109"/>
      <c r="O978" s="164"/>
      <c r="P978" s="165"/>
      <c r="Q978" s="165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  <c r="AO978" s="109"/>
      <c r="AP978" s="109"/>
      <c r="AQ978" s="109"/>
      <c r="AR978" s="109"/>
      <c r="AS978" s="109"/>
      <c r="AT978" s="109"/>
      <c r="AU978" s="109"/>
      <c r="AV978" s="109"/>
      <c r="AW978" s="109"/>
      <c r="AX978" s="109"/>
      <c r="AY978" s="109"/>
      <c r="AZ978" s="109"/>
      <c r="BA978" s="109"/>
      <c r="BB978" s="109"/>
      <c r="BC978" s="109"/>
      <c r="BD978" s="109"/>
      <c r="BE978" s="109"/>
      <c r="BF978" s="109"/>
      <c r="BG978" s="109"/>
      <c r="BH978" s="109"/>
      <c r="BI978" s="109"/>
      <c r="BJ978" s="109"/>
      <c r="BK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63"/>
      <c r="J979" s="109"/>
      <c r="K979" s="109"/>
      <c r="L979" s="109"/>
      <c r="M979" s="109"/>
      <c r="N979" s="109"/>
      <c r="O979" s="164"/>
      <c r="P979" s="165"/>
      <c r="Q979" s="165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  <c r="AO979" s="109"/>
      <c r="AP979" s="109"/>
      <c r="AQ979" s="109"/>
      <c r="AR979" s="109"/>
      <c r="AS979" s="109"/>
      <c r="AT979" s="109"/>
      <c r="AU979" s="109"/>
      <c r="AV979" s="109"/>
      <c r="AW979" s="109"/>
      <c r="AX979" s="109"/>
      <c r="AY979" s="109"/>
      <c r="AZ979" s="109"/>
      <c r="BA979" s="109"/>
      <c r="BB979" s="109"/>
      <c r="BC979" s="109"/>
      <c r="BD979" s="109"/>
      <c r="BE979" s="109"/>
      <c r="BF979" s="109"/>
      <c r="BG979" s="109"/>
      <c r="BH979" s="109"/>
      <c r="BI979" s="109"/>
      <c r="BJ979" s="109"/>
      <c r="BK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63"/>
      <c r="J980" s="109"/>
      <c r="K980" s="109"/>
      <c r="L980" s="109"/>
      <c r="M980" s="109"/>
      <c r="N980" s="109"/>
      <c r="O980" s="164"/>
      <c r="P980" s="165"/>
      <c r="Q980" s="165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  <c r="AO980" s="109"/>
      <c r="AP980" s="109"/>
      <c r="AQ980" s="109"/>
      <c r="AR980" s="109"/>
      <c r="AS980" s="109"/>
      <c r="AT980" s="109"/>
      <c r="AU980" s="109"/>
      <c r="AV980" s="109"/>
      <c r="AW980" s="109"/>
      <c r="AX980" s="109"/>
      <c r="AY980" s="109"/>
      <c r="AZ980" s="109"/>
      <c r="BA980" s="109"/>
      <c r="BB980" s="109"/>
      <c r="BC980" s="109"/>
      <c r="BD980" s="109"/>
      <c r="BE980" s="109"/>
      <c r="BF980" s="109"/>
      <c r="BG980" s="109"/>
      <c r="BH980" s="109"/>
      <c r="BI980" s="109"/>
      <c r="BJ980" s="109"/>
      <c r="BK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63"/>
      <c r="J981" s="109"/>
      <c r="K981" s="109"/>
      <c r="L981" s="109"/>
      <c r="M981" s="109"/>
      <c r="N981" s="109"/>
      <c r="O981" s="164"/>
      <c r="P981" s="165"/>
      <c r="Q981" s="165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  <c r="AO981" s="109"/>
      <c r="AP981" s="109"/>
      <c r="AQ981" s="109"/>
      <c r="AR981" s="109"/>
      <c r="AS981" s="109"/>
      <c r="AT981" s="109"/>
      <c r="AU981" s="109"/>
      <c r="AV981" s="109"/>
      <c r="AW981" s="109"/>
      <c r="AX981" s="109"/>
      <c r="AY981" s="109"/>
      <c r="AZ981" s="109"/>
      <c r="BA981" s="109"/>
      <c r="BB981" s="109"/>
      <c r="BC981" s="109"/>
      <c r="BD981" s="109"/>
      <c r="BE981" s="109"/>
      <c r="BF981" s="109"/>
      <c r="BG981" s="109"/>
      <c r="BH981" s="109"/>
      <c r="BI981" s="109"/>
      <c r="BJ981" s="109"/>
      <c r="BK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63"/>
      <c r="J982" s="109"/>
      <c r="K982" s="109"/>
      <c r="L982" s="109"/>
      <c r="M982" s="109"/>
      <c r="N982" s="109"/>
      <c r="O982" s="164"/>
      <c r="P982" s="165"/>
      <c r="Q982" s="165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  <c r="AO982" s="109"/>
      <c r="AP982" s="109"/>
      <c r="AQ982" s="109"/>
      <c r="AR982" s="109"/>
      <c r="AS982" s="109"/>
      <c r="AT982" s="109"/>
      <c r="AU982" s="109"/>
      <c r="AV982" s="109"/>
      <c r="AW982" s="109"/>
      <c r="AX982" s="109"/>
      <c r="AY982" s="109"/>
      <c r="AZ982" s="109"/>
      <c r="BA982" s="109"/>
      <c r="BB982" s="109"/>
      <c r="BC982" s="109"/>
      <c r="BD982" s="109"/>
      <c r="BE982" s="109"/>
      <c r="BF982" s="109"/>
      <c r="BG982" s="109"/>
      <c r="BH982" s="109"/>
      <c r="BI982" s="109"/>
      <c r="BJ982" s="109"/>
      <c r="BK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63"/>
      <c r="J983" s="109"/>
      <c r="K983" s="109"/>
      <c r="L983" s="109"/>
      <c r="M983" s="109"/>
      <c r="N983" s="109"/>
      <c r="O983" s="164"/>
      <c r="P983" s="165"/>
      <c r="Q983" s="165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  <c r="AO983" s="109"/>
      <c r="AP983" s="109"/>
      <c r="AQ983" s="109"/>
      <c r="AR983" s="109"/>
      <c r="AS983" s="109"/>
      <c r="AT983" s="109"/>
      <c r="AU983" s="109"/>
      <c r="AV983" s="109"/>
      <c r="AW983" s="109"/>
      <c r="AX983" s="109"/>
      <c r="AY983" s="109"/>
      <c r="AZ983" s="109"/>
      <c r="BA983" s="109"/>
      <c r="BB983" s="109"/>
      <c r="BC983" s="109"/>
      <c r="BD983" s="109"/>
      <c r="BE983" s="109"/>
      <c r="BF983" s="109"/>
      <c r="BG983" s="109"/>
      <c r="BH983" s="109"/>
      <c r="BI983" s="109"/>
      <c r="BJ983" s="109"/>
      <c r="BK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63"/>
      <c r="J984" s="109"/>
      <c r="K984" s="109"/>
      <c r="L984" s="109"/>
      <c r="M984" s="109"/>
      <c r="N984" s="109"/>
      <c r="O984" s="164"/>
      <c r="P984" s="165"/>
      <c r="Q984" s="165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  <c r="AO984" s="109"/>
      <c r="AP984" s="109"/>
      <c r="AQ984" s="109"/>
      <c r="AR984" s="109"/>
      <c r="AS984" s="109"/>
      <c r="AT984" s="109"/>
      <c r="AU984" s="109"/>
      <c r="AV984" s="109"/>
      <c r="AW984" s="109"/>
      <c r="AX984" s="109"/>
      <c r="AY984" s="109"/>
      <c r="AZ984" s="109"/>
      <c r="BA984" s="109"/>
      <c r="BB984" s="109"/>
      <c r="BC984" s="109"/>
      <c r="BD984" s="109"/>
      <c r="BE984" s="109"/>
      <c r="BF984" s="109"/>
      <c r="BG984" s="109"/>
      <c r="BH984" s="109"/>
      <c r="BI984" s="109"/>
      <c r="BJ984" s="109"/>
      <c r="BK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63"/>
      <c r="J985" s="109"/>
      <c r="K985" s="109"/>
      <c r="L985" s="109"/>
      <c r="M985" s="109"/>
      <c r="N985" s="109"/>
      <c r="O985" s="164"/>
      <c r="P985" s="165"/>
      <c r="Q985" s="165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  <c r="AO985" s="109"/>
      <c r="AP985" s="109"/>
      <c r="AQ985" s="109"/>
      <c r="AR985" s="109"/>
      <c r="AS985" s="109"/>
      <c r="AT985" s="109"/>
      <c r="AU985" s="109"/>
      <c r="AV985" s="109"/>
      <c r="AW985" s="109"/>
      <c r="AX985" s="109"/>
      <c r="AY985" s="109"/>
      <c r="AZ985" s="109"/>
      <c r="BA985" s="109"/>
      <c r="BB985" s="109"/>
      <c r="BC985" s="109"/>
      <c r="BD985" s="109"/>
      <c r="BE985" s="109"/>
      <c r="BF985" s="109"/>
      <c r="BG985" s="109"/>
      <c r="BH985" s="109"/>
      <c r="BI985" s="109"/>
      <c r="BJ985" s="109"/>
      <c r="BK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63"/>
      <c r="J986" s="109"/>
      <c r="K986" s="109"/>
      <c r="L986" s="109"/>
      <c r="M986" s="109"/>
      <c r="N986" s="109"/>
      <c r="O986" s="164"/>
      <c r="P986" s="165"/>
      <c r="Q986" s="165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  <c r="AO986" s="109"/>
      <c r="AP986" s="109"/>
      <c r="AQ986" s="109"/>
      <c r="AR986" s="109"/>
      <c r="AS986" s="109"/>
      <c r="AT986" s="109"/>
      <c r="AU986" s="109"/>
      <c r="AV986" s="109"/>
      <c r="AW986" s="109"/>
      <c r="AX986" s="109"/>
      <c r="AY986" s="109"/>
      <c r="AZ986" s="109"/>
      <c r="BA986" s="109"/>
      <c r="BB986" s="109"/>
      <c r="BC986" s="109"/>
      <c r="BD986" s="109"/>
      <c r="BE986" s="109"/>
      <c r="BF986" s="109"/>
      <c r="BG986" s="109"/>
      <c r="BH986" s="109"/>
      <c r="BI986" s="109"/>
      <c r="BJ986" s="109"/>
      <c r="BK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63"/>
      <c r="J987" s="109"/>
      <c r="K987" s="109"/>
      <c r="L987" s="109"/>
      <c r="M987" s="109"/>
      <c r="N987" s="109"/>
      <c r="O987" s="164"/>
      <c r="P987" s="165"/>
      <c r="Q987" s="165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  <c r="AO987" s="109"/>
      <c r="AP987" s="109"/>
      <c r="AQ987" s="109"/>
      <c r="AR987" s="109"/>
      <c r="AS987" s="109"/>
      <c r="AT987" s="109"/>
      <c r="AU987" s="109"/>
      <c r="AV987" s="109"/>
      <c r="AW987" s="109"/>
      <c r="AX987" s="109"/>
      <c r="AY987" s="109"/>
      <c r="AZ987" s="109"/>
      <c r="BA987" s="109"/>
      <c r="BB987" s="109"/>
      <c r="BC987" s="109"/>
      <c r="BD987" s="109"/>
      <c r="BE987" s="109"/>
      <c r="BF987" s="109"/>
      <c r="BG987" s="109"/>
      <c r="BH987" s="109"/>
      <c r="BI987" s="109"/>
      <c r="BJ987" s="109"/>
      <c r="BK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63"/>
      <c r="J988" s="109"/>
      <c r="K988" s="109"/>
      <c r="L988" s="109"/>
      <c r="M988" s="109"/>
      <c r="N988" s="109"/>
      <c r="O988" s="164"/>
      <c r="P988" s="165"/>
      <c r="Q988" s="165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  <c r="AO988" s="109"/>
      <c r="AP988" s="109"/>
      <c r="AQ988" s="109"/>
      <c r="AR988" s="109"/>
      <c r="AS988" s="109"/>
      <c r="AT988" s="109"/>
      <c r="AU988" s="109"/>
      <c r="AV988" s="109"/>
      <c r="AW988" s="109"/>
      <c r="AX988" s="109"/>
      <c r="AY988" s="109"/>
      <c r="AZ988" s="109"/>
      <c r="BA988" s="109"/>
      <c r="BB988" s="109"/>
      <c r="BC988" s="109"/>
      <c r="BD988" s="109"/>
      <c r="BE988" s="109"/>
      <c r="BF988" s="109"/>
      <c r="BG988" s="109"/>
      <c r="BH988" s="109"/>
      <c r="BI988" s="109"/>
      <c r="BJ988" s="109"/>
      <c r="BK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63"/>
      <c r="J989" s="109"/>
      <c r="K989" s="109"/>
      <c r="L989" s="109"/>
      <c r="M989" s="109"/>
      <c r="N989" s="109"/>
      <c r="O989" s="164"/>
      <c r="P989" s="165"/>
      <c r="Q989" s="165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  <c r="AO989" s="109"/>
      <c r="AP989" s="109"/>
      <c r="AQ989" s="109"/>
      <c r="AR989" s="109"/>
      <c r="AS989" s="109"/>
      <c r="AT989" s="109"/>
      <c r="AU989" s="109"/>
      <c r="AV989" s="109"/>
      <c r="AW989" s="109"/>
      <c r="AX989" s="109"/>
      <c r="AY989" s="109"/>
      <c r="AZ989" s="109"/>
      <c r="BA989" s="109"/>
      <c r="BB989" s="109"/>
      <c r="BC989" s="109"/>
      <c r="BD989" s="109"/>
      <c r="BE989" s="109"/>
      <c r="BF989" s="109"/>
      <c r="BG989" s="109"/>
      <c r="BH989" s="109"/>
      <c r="BI989" s="109"/>
      <c r="BJ989" s="109"/>
      <c r="BK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63"/>
      <c r="J990" s="109"/>
      <c r="K990" s="109"/>
      <c r="L990" s="109"/>
      <c r="M990" s="109"/>
      <c r="N990" s="109"/>
      <c r="O990" s="164"/>
      <c r="P990" s="165"/>
      <c r="Q990" s="165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  <c r="AO990" s="109"/>
      <c r="AP990" s="109"/>
      <c r="AQ990" s="109"/>
      <c r="AR990" s="109"/>
      <c r="AS990" s="109"/>
      <c r="AT990" s="109"/>
      <c r="AU990" s="109"/>
      <c r="AV990" s="109"/>
      <c r="AW990" s="109"/>
      <c r="AX990" s="109"/>
      <c r="AY990" s="109"/>
      <c r="AZ990" s="109"/>
      <c r="BA990" s="109"/>
      <c r="BB990" s="109"/>
      <c r="BC990" s="109"/>
      <c r="BD990" s="109"/>
      <c r="BE990" s="109"/>
      <c r="BF990" s="109"/>
      <c r="BG990" s="109"/>
      <c r="BH990" s="109"/>
      <c r="BI990" s="109"/>
      <c r="BJ990" s="109"/>
      <c r="BK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63"/>
      <c r="J991" s="109"/>
      <c r="K991" s="109"/>
      <c r="L991" s="109"/>
      <c r="M991" s="109"/>
      <c r="N991" s="109"/>
      <c r="O991" s="164"/>
      <c r="P991" s="165"/>
      <c r="Q991" s="165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  <c r="AO991" s="109"/>
      <c r="AP991" s="109"/>
      <c r="AQ991" s="109"/>
      <c r="AR991" s="109"/>
      <c r="AS991" s="109"/>
      <c r="AT991" s="109"/>
      <c r="AU991" s="109"/>
      <c r="AV991" s="109"/>
      <c r="AW991" s="109"/>
      <c r="AX991" s="109"/>
      <c r="AY991" s="109"/>
      <c r="AZ991" s="109"/>
      <c r="BA991" s="109"/>
      <c r="BB991" s="109"/>
      <c r="BC991" s="109"/>
      <c r="BD991" s="109"/>
      <c r="BE991" s="109"/>
      <c r="BF991" s="109"/>
      <c r="BG991" s="109"/>
      <c r="BH991" s="109"/>
      <c r="BI991" s="109"/>
      <c r="BJ991" s="109"/>
      <c r="BK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63"/>
      <c r="J992" s="109"/>
      <c r="K992" s="109"/>
      <c r="L992" s="109"/>
      <c r="M992" s="109"/>
      <c r="N992" s="109"/>
      <c r="O992" s="164"/>
      <c r="P992" s="165"/>
      <c r="Q992" s="165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  <c r="AO992" s="109"/>
      <c r="AP992" s="109"/>
      <c r="AQ992" s="109"/>
      <c r="AR992" s="109"/>
      <c r="AS992" s="109"/>
      <c r="AT992" s="109"/>
      <c r="AU992" s="109"/>
      <c r="AV992" s="109"/>
      <c r="AW992" s="109"/>
      <c r="AX992" s="109"/>
      <c r="AY992" s="109"/>
      <c r="AZ992" s="109"/>
      <c r="BA992" s="109"/>
      <c r="BB992" s="109"/>
      <c r="BC992" s="109"/>
      <c r="BD992" s="109"/>
      <c r="BE992" s="109"/>
      <c r="BF992" s="109"/>
      <c r="BG992" s="109"/>
      <c r="BH992" s="109"/>
      <c r="BI992" s="109"/>
      <c r="BJ992" s="109"/>
      <c r="BK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63"/>
      <c r="J993" s="109"/>
      <c r="K993" s="109"/>
      <c r="L993" s="109"/>
      <c r="M993" s="109"/>
      <c r="N993" s="109"/>
      <c r="O993" s="164"/>
      <c r="P993" s="165"/>
      <c r="Q993" s="165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  <c r="AO993" s="109"/>
      <c r="AP993" s="109"/>
      <c r="AQ993" s="109"/>
      <c r="AR993" s="109"/>
      <c r="AS993" s="109"/>
      <c r="AT993" s="109"/>
      <c r="AU993" s="109"/>
      <c r="AV993" s="109"/>
      <c r="AW993" s="109"/>
      <c r="AX993" s="109"/>
      <c r="AY993" s="109"/>
      <c r="AZ993" s="109"/>
      <c r="BA993" s="109"/>
      <c r="BB993" s="109"/>
      <c r="BC993" s="109"/>
      <c r="BD993" s="109"/>
      <c r="BE993" s="109"/>
      <c r="BF993" s="109"/>
      <c r="BG993" s="109"/>
      <c r="BH993" s="109"/>
      <c r="BI993" s="109"/>
      <c r="BJ993" s="109"/>
      <c r="BK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63"/>
      <c r="J994" s="109"/>
      <c r="K994" s="109"/>
      <c r="L994" s="109"/>
      <c r="M994" s="109"/>
      <c r="N994" s="109"/>
      <c r="O994" s="164"/>
      <c r="P994" s="165"/>
      <c r="Q994" s="165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  <c r="AO994" s="109"/>
      <c r="AP994" s="109"/>
      <c r="AQ994" s="109"/>
      <c r="AR994" s="109"/>
      <c r="AS994" s="109"/>
      <c r="AT994" s="109"/>
      <c r="AU994" s="109"/>
      <c r="AV994" s="109"/>
      <c r="AW994" s="109"/>
      <c r="AX994" s="109"/>
      <c r="AY994" s="109"/>
      <c r="AZ994" s="109"/>
      <c r="BA994" s="109"/>
      <c r="BB994" s="109"/>
      <c r="BC994" s="109"/>
      <c r="BD994" s="109"/>
      <c r="BE994" s="109"/>
      <c r="BF994" s="109"/>
      <c r="BG994" s="109"/>
      <c r="BH994" s="109"/>
      <c r="BI994" s="109"/>
      <c r="BJ994" s="109"/>
      <c r="BK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63"/>
      <c r="J995" s="109"/>
      <c r="K995" s="109"/>
      <c r="L995" s="109"/>
      <c r="M995" s="109"/>
      <c r="N995" s="109"/>
      <c r="O995" s="164"/>
      <c r="P995" s="165"/>
      <c r="Q995" s="165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  <c r="AO995" s="109"/>
      <c r="AP995" s="109"/>
      <c r="AQ995" s="109"/>
      <c r="AR995" s="109"/>
      <c r="AS995" s="109"/>
      <c r="AT995" s="109"/>
      <c r="AU995" s="109"/>
      <c r="AV995" s="109"/>
      <c r="AW995" s="109"/>
      <c r="AX995" s="109"/>
      <c r="AY995" s="109"/>
      <c r="AZ995" s="109"/>
      <c r="BA995" s="109"/>
      <c r="BB995" s="109"/>
      <c r="BC995" s="109"/>
      <c r="BD995" s="109"/>
      <c r="BE995" s="109"/>
      <c r="BF995" s="109"/>
      <c r="BG995" s="109"/>
      <c r="BH995" s="109"/>
      <c r="BI995" s="109"/>
      <c r="BJ995" s="109"/>
      <c r="BK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63"/>
      <c r="J996" s="109"/>
      <c r="K996" s="109"/>
      <c r="L996" s="109"/>
      <c r="M996" s="109"/>
      <c r="N996" s="109"/>
      <c r="O996" s="164"/>
      <c r="P996" s="165"/>
      <c r="Q996" s="165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  <c r="AO996" s="109"/>
      <c r="AP996" s="109"/>
      <c r="AQ996" s="109"/>
      <c r="AR996" s="109"/>
      <c r="AS996" s="109"/>
      <c r="AT996" s="109"/>
      <c r="AU996" s="109"/>
      <c r="AV996" s="109"/>
      <c r="AW996" s="109"/>
      <c r="AX996" s="109"/>
      <c r="AY996" s="109"/>
      <c r="AZ996" s="109"/>
      <c r="BA996" s="109"/>
      <c r="BB996" s="109"/>
      <c r="BC996" s="109"/>
      <c r="BD996" s="109"/>
      <c r="BE996" s="109"/>
      <c r="BF996" s="109"/>
      <c r="BG996" s="109"/>
      <c r="BH996" s="109"/>
      <c r="BI996" s="109"/>
      <c r="BJ996" s="109"/>
      <c r="BK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63"/>
      <c r="J997" s="109"/>
      <c r="K997" s="109"/>
      <c r="L997" s="109"/>
      <c r="M997" s="109"/>
      <c r="N997" s="109"/>
      <c r="O997" s="164"/>
      <c r="P997" s="165"/>
      <c r="Q997" s="165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  <c r="AO997" s="109"/>
      <c r="AP997" s="109"/>
      <c r="AQ997" s="109"/>
      <c r="AR997" s="109"/>
      <c r="AS997" s="109"/>
      <c r="AT997" s="109"/>
      <c r="AU997" s="109"/>
      <c r="AV997" s="109"/>
      <c r="AW997" s="109"/>
      <c r="AX997" s="109"/>
      <c r="AY997" s="109"/>
      <c r="AZ997" s="109"/>
      <c r="BA997" s="109"/>
      <c r="BB997" s="109"/>
      <c r="BC997" s="109"/>
      <c r="BD997" s="109"/>
      <c r="BE997" s="109"/>
      <c r="BF997" s="109"/>
      <c r="BG997" s="109"/>
      <c r="BH997" s="109"/>
      <c r="BI997" s="109"/>
      <c r="BJ997" s="109"/>
      <c r="BK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63"/>
      <c r="J998" s="109"/>
      <c r="K998" s="109"/>
      <c r="L998" s="109"/>
      <c r="M998" s="109"/>
      <c r="N998" s="109"/>
      <c r="O998" s="164"/>
      <c r="P998" s="165"/>
      <c r="Q998" s="165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  <c r="AO998" s="109"/>
      <c r="AP998" s="109"/>
      <c r="AQ998" s="109"/>
      <c r="AR998" s="109"/>
      <c r="AS998" s="109"/>
      <c r="AT998" s="109"/>
      <c r="AU998" s="109"/>
      <c r="AV998" s="109"/>
      <c r="AW998" s="109"/>
      <c r="AX998" s="109"/>
      <c r="AY998" s="109"/>
      <c r="AZ998" s="109"/>
      <c r="BA998" s="109"/>
      <c r="BB998" s="109"/>
      <c r="BC998" s="109"/>
      <c r="BD998" s="109"/>
      <c r="BE998" s="109"/>
      <c r="BF998" s="109"/>
      <c r="BG998" s="109"/>
      <c r="BH998" s="109"/>
      <c r="BI998" s="109"/>
      <c r="BJ998" s="109"/>
      <c r="BK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63"/>
      <c r="J999" s="109"/>
      <c r="K999" s="109"/>
      <c r="L999" s="109"/>
      <c r="M999" s="109"/>
      <c r="N999" s="109"/>
      <c r="O999" s="164"/>
      <c r="P999" s="165"/>
      <c r="Q999" s="165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  <c r="AO999" s="109"/>
      <c r="AP999" s="109"/>
      <c r="AQ999" s="109"/>
      <c r="AR999" s="109"/>
      <c r="AS999" s="109"/>
      <c r="AT999" s="109"/>
      <c r="AU999" s="109"/>
      <c r="AV999" s="109"/>
      <c r="AW999" s="109"/>
      <c r="AX999" s="109"/>
      <c r="AY999" s="109"/>
      <c r="AZ999" s="109"/>
      <c r="BA999" s="109"/>
      <c r="BB999" s="109"/>
      <c r="BC999" s="109"/>
      <c r="BD999" s="109"/>
      <c r="BE999" s="109"/>
      <c r="BF999" s="109"/>
      <c r="BG999" s="109"/>
      <c r="BH999" s="109"/>
      <c r="BI999" s="109"/>
      <c r="BJ999" s="109"/>
      <c r="BK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63"/>
      <c r="J1000" s="109"/>
      <c r="K1000" s="109"/>
      <c r="L1000" s="109"/>
      <c r="M1000" s="109"/>
      <c r="N1000" s="109"/>
      <c r="O1000" s="164"/>
      <c r="P1000" s="165"/>
      <c r="Q1000" s="165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  <c r="AO1000" s="109"/>
      <c r="AP1000" s="109"/>
      <c r="AQ1000" s="109"/>
      <c r="AR1000" s="109"/>
      <c r="AS1000" s="109"/>
      <c r="AT1000" s="109"/>
      <c r="AU1000" s="109"/>
      <c r="AV1000" s="109"/>
      <c r="AW1000" s="109"/>
      <c r="AX1000" s="109"/>
      <c r="AY1000" s="109"/>
      <c r="AZ1000" s="109"/>
      <c r="BA1000" s="109"/>
      <c r="BB1000" s="109"/>
      <c r="BC1000" s="109"/>
      <c r="BD1000" s="109"/>
      <c r="BE1000" s="109"/>
      <c r="BF1000" s="109"/>
      <c r="BG1000" s="109"/>
      <c r="BH1000" s="109"/>
      <c r="BI1000" s="109"/>
      <c r="BJ1000" s="109"/>
      <c r="BK1000" s="109"/>
    </row>
    <row r="1001">
      <c r="A1001" s="109"/>
      <c r="B1001" s="109"/>
      <c r="C1001" s="109"/>
      <c r="D1001" s="109"/>
      <c r="E1001" s="109"/>
      <c r="F1001" s="109"/>
      <c r="G1001" s="109"/>
      <c r="H1001" s="109"/>
      <c r="I1001" s="163"/>
      <c r="J1001" s="109"/>
      <c r="K1001" s="109"/>
      <c r="L1001" s="109"/>
      <c r="M1001" s="109"/>
      <c r="N1001" s="109"/>
      <c r="O1001" s="164"/>
      <c r="P1001" s="165"/>
      <c r="Q1001" s="165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09"/>
      <c r="AK1001" s="109"/>
      <c r="AL1001" s="109"/>
      <c r="AM1001" s="109"/>
      <c r="AN1001" s="109"/>
      <c r="AO1001" s="109"/>
      <c r="AP1001" s="109"/>
      <c r="AQ1001" s="109"/>
      <c r="AR1001" s="109"/>
      <c r="AS1001" s="109"/>
      <c r="AT1001" s="109"/>
      <c r="AU1001" s="109"/>
      <c r="AV1001" s="109"/>
      <c r="AW1001" s="109"/>
      <c r="AX1001" s="109"/>
      <c r="AY1001" s="109"/>
      <c r="AZ1001" s="109"/>
      <c r="BA1001" s="109"/>
      <c r="BB1001" s="109"/>
      <c r="BC1001" s="109"/>
      <c r="BD1001" s="109"/>
      <c r="BE1001" s="109"/>
      <c r="BF1001" s="109"/>
      <c r="BG1001" s="109"/>
      <c r="BH1001" s="109"/>
      <c r="BI1001" s="109"/>
      <c r="BJ1001" s="109"/>
      <c r="BK1001" s="109"/>
    </row>
    <row r="1002">
      <c r="A1002" s="109"/>
      <c r="B1002" s="109"/>
      <c r="C1002" s="109"/>
      <c r="D1002" s="109"/>
      <c r="E1002" s="109"/>
      <c r="F1002" s="109"/>
      <c r="G1002" s="109"/>
      <c r="H1002" s="109"/>
      <c r="I1002" s="163"/>
      <c r="J1002" s="109"/>
      <c r="K1002" s="109"/>
      <c r="L1002" s="109"/>
      <c r="M1002" s="109"/>
      <c r="N1002" s="109"/>
      <c r="O1002" s="164"/>
      <c r="P1002" s="165"/>
      <c r="Q1002" s="165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09"/>
      <c r="AK1002" s="109"/>
      <c r="AL1002" s="109"/>
      <c r="AM1002" s="109"/>
      <c r="AN1002" s="109"/>
      <c r="AO1002" s="109"/>
      <c r="AP1002" s="109"/>
      <c r="AQ1002" s="109"/>
      <c r="AR1002" s="109"/>
      <c r="AS1002" s="109"/>
      <c r="AT1002" s="109"/>
      <c r="AU1002" s="109"/>
      <c r="AV1002" s="109"/>
      <c r="AW1002" s="109"/>
      <c r="AX1002" s="109"/>
      <c r="AY1002" s="109"/>
      <c r="AZ1002" s="109"/>
      <c r="BA1002" s="109"/>
      <c r="BB1002" s="109"/>
      <c r="BC1002" s="109"/>
      <c r="BD1002" s="109"/>
      <c r="BE1002" s="109"/>
      <c r="BF1002" s="109"/>
      <c r="BG1002" s="109"/>
      <c r="BH1002" s="109"/>
      <c r="BI1002" s="109"/>
      <c r="BJ1002" s="109"/>
      <c r="BK1002" s="109"/>
    </row>
    <row r="1003">
      <c r="A1003" s="109"/>
      <c r="B1003" s="109"/>
      <c r="C1003" s="109"/>
      <c r="D1003" s="109"/>
      <c r="E1003" s="109"/>
      <c r="F1003" s="109"/>
      <c r="G1003" s="109"/>
      <c r="H1003" s="109"/>
      <c r="I1003" s="163"/>
      <c r="J1003" s="109"/>
      <c r="K1003" s="109"/>
      <c r="L1003" s="109"/>
      <c r="M1003" s="109"/>
      <c r="N1003" s="109"/>
      <c r="O1003" s="164"/>
      <c r="P1003" s="165"/>
      <c r="Q1003" s="165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09"/>
      <c r="AK1003" s="109"/>
      <c r="AL1003" s="109"/>
      <c r="AM1003" s="109"/>
      <c r="AN1003" s="109"/>
      <c r="AO1003" s="109"/>
      <c r="AP1003" s="109"/>
      <c r="AQ1003" s="109"/>
      <c r="AR1003" s="109"/>
      <c r="AS1003" s="109"/>
      <c r="AT1003" s="109"/>
      <c r="AU1003" s="109"/>
      <c r="AV1003" s="109"/>
      <c r="AW1003" s="109"/>
      <c r="AX1003" s="109"/>
      <c r="AY1003" s="109"/>
      <c r="AZ1003" s="109"/>
      <c r="BA1003" s="109"/>
      <c r="BB1003" s="109"/>
      <c r="BC1003" s="109"/>
      <c r="BD1003" s="109"/>
      <c r="BE1003" s="109"/>
      <c r="BF1003" s="109"/>
      <c r="BG1003" s="109"/>
      <c r="BH1003" s="109"/>
      <c r="BI1003" s="109"/>
      <c r="BJ1003" s="109"/>
      <c r="BK1003" s="109"/>
    </row>
    <row r="1004">
      <c r="A1004" s="109"/>
      <c r="B1004" s="109"/>
      <c r="C1004" s="109"/>
      <c r="D1004" s="109"/>
      <c r="E1004" s="109"/>
      <c r="F1004" s="109"/>
      <c r="G1004" s="109"/>
      <c r="H1004" s="109"/>
      <c r="I1004" s="163"/>
      <c r="J1004" s="109"/>
      <c r="K1004" s="109"/>
      <c r="L1004" s="109"/>
      <c r="M1004" s="109"/>
      <c r="N1004" s="109"/>
      <c r="O1004" s="164"/>
      <c r="P1004" s="165"/>
      <c r="Q1004" s="165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09"/>
      <c r="AK1004" s="109"/>
      <c r="AL1004" s="109"/>
      <c r="AM1004" s="109"/>
      <c r="AN1004" s="109"/>
      <c r="AO1004" s="109"/>
      <c r="AP1004" s="109"/>
      <c r="AQ1004" s="109"/>
      <c r="AR1004" s="109"/>
      <c r="AS1004" s="109"/>
      <c r="AT1004" s="109"/>
      <c r="AU1004" s="109"/>
      <c r="AV1004" s="109"/>
      <c r="AW1004" s="109"/>
      <c r="AX1004" s="109"/>
      <c r="AY1004" s="109"/>
      <c r="AZ1004" s="109"/>
      <c r="BA1004" s="109"/>
      <c r="BB1004" s="109"/>
      <c r="BC1004" s="109"/>
      <c r="BD1004" s="109"/>
      <c r="BE1004" s="109"/>
      <c r="BF1004" s="109"/>
      <c r="BG1004" s="109"/>
      <c r="BH1004" s="109"/>
      <c r="BI1004" s="109"/>
      <c r="BJ1004" s="109"/>
      <c r="BK1004" s="109"/>
    </row>
    <row r="1005">
      <c r="A1005" s="109"/>
      <c r="B1005" s="109"/>
      <c r="C1005" s="109"/>
      <c r="D1005" s="109"/>
      <c r="E1005" s="109"/>
      <c r="F1005" s="109"/>
      <c r="G1005" s="109"/>
      <c r="H1005" s="109"/>
      <c r="I1005" s="163"/>
      <c r="J1005" s="109"/>
      <c r="K1005" s="109"/>
      <c r="L1005" s="109"/>
      <c r="M1005" s="109"/>
      <c r="N1005" s="109"/>
      <c r="O1005" s="164"/>
      <c r="P1005" s="165"/>
      <c r="Q1005" s="165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  <c r="AG1005" s="109"/>
      <c r="AH1005" s="109"/>
      <c r="AI1005" s="109"/>
      <c r="AJ1005" s="109"/>
      <c r="AK1005" s="109"/>
      <c r="AL1005" s="109"/>
      <c r="AM1005" s="109"/>
      <c r="AN1005" s="109"/>
      <c r="AO1005" s="109"/>
      <c r="AP1005" s="109"/>
      <c r="AQ1005" s="109"/>
      <c r="AR1005" s="109"/>
      <c r="AS1005" s="109"/>
      <c r="AT1005" s="109"/>
      <c r="AU1005" s="109"/>
      <c r="AV1005" s="109"/>
      <c r="AW1005" s="109"/>
      <c r="AX1005" s="109"/>
      <c r="AY1005" s="109"/>
      <c r="AZ1005" s="109"/>
      <c r="BA1005" s="109"/>
      <c r="BB1005" s="109"/>
      <c r="BC1005" s="109"/>
      <c r="BD1005" s="109"/>
      <c r="BE1005" s="109"/>
      <c r="BF1005" s="109"/>
      <c r="BG1005" s="109"/>
      <c r="BH1005" s="109"/>
      <c r="BI1005" s="109"/>
      <c r="BJ1005" s="109"/>
      <c r="BK1005" s="109"/>
    </row>
    <row r="1006">
      <c r="A1006" s="109"/>
      <c r="B1006" s="109"/>
      <c r="C1006" s="109"/>
      <c r="D1006" s="109"/>
      <c r="E1006" s="109"/>
      <c r="F1006" s="109"/>
      <c r="G1006" s="109"/>
      <c r="H1006" s="109"/>
      <c r="I1006" s="163"/>
      <c r="J1006" s="109"/>
      <c r="K1006" s="109"/>
      <c r="L1006" s="109"/>
      <c r="M1006" s="109"/>
      <c r="N1006" s="109"/>
      <c r="O1006" s="164"/>
      <c r="P1006" s="165"/>
      <c r="Q1006" s="165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  <c r="AG1006" s="109"/>
      <c r="AH1006" s="109"/>
      <c r="AI1006" s="109"/>
      <c r="AJ1006" s="109"/>
      <c r="AK1006" s="109"/>
      <c r="AL1006" s="109"/>
      <c r="AM1006" s="109"/>
      <c r="AN1006" s="109"/>
      <c r="AO1006" s="109"/>
      <c r="AP1006" s="109"/>
      <c r="AQ1006" s="109"/>
      <c r="AR1006" s="109"/>
      <c r="AS1006" s="109"/>
      <c r="AT1006" s="109"/>
      <c r="AU1006" s="109"/>
      <c r="AV1006" s="109"/>
      <c r="AW1006" s="109"/>
      <c r="AX1006" s="109"/>
      <c r="AY1006" s="109"/>
      <c r="AZ1006" s="109"/>
      <c r="BA1006" s="109"/>
      <c r="BB1006" s="109"/>
      <c r="BC1006" s="109"/>
      <c r="BD1006" s="109"/>
      <c r="BE1006" s="109"/>
      <c r="BF1006" s="109"/>
      <c r="BG1006" s="109"/>
      <c r="BH1006" s="109"/>
      <c r="BI1006" s="109"/>
      <c r="BJ1006" s="109"/>
      <c r="BK1006" s="109"/>
    </row>
    <row r="1007">
      <c r="A1007" s="109"/>
      <c r="B1007" s="109"/>
      <c r="C1007" s="109"/>
      <c r="D1007" s="109"/>
      <c r="E1007" s="109"/>
      <c r="F1007" s="109"/>
      <c r="G1007" s="109"/>
      <c r="H1007" s="109"/>
      <c r="I1007" s="163"/>
      <c r="J1007" s="109"/>
      <c r="K1007" s="109"/>
      <c r="L1007" s="109"/>
      <c r="M1007" s="109"/>
      <c r="N1007" s="109"/>
      <c r="O1007" s="164"/>
      <c r="P1007" s="165"/>
      <c r="Q1007" s="165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  <c r="AG1007" s="109"/>
      <c r="AH1007" s="109"/>
      <c r="AI1007" s="109"/>
      <c r="AJ1007" s="109"/>
      <c r="AK1007" s="109"/>
      <c r="AL1007" s="109"/>
      <c r="AM1007" s="109"/>
      <c r="AN1007" s="109"/>
      <c r="AO1007" s="109"/>
      <c r="AP1007" s="109"/>
      <c r="AQ1007" s="109"/>
      <c r="AR1007" s="109"/>
      <c r="AS1007" s="109"/>
      <c r="AT1007" s="109"/>
      <c r="AU1007" s="109"/>
      <c r="AV1007" s="109"/>
      <c r="AW1007" s="109"/>
      <c r="AX1007" s="109"/>
      <c r="AY1007" s="109"/>
      <c r="AZ1007" s="109"/>
      <c r="BA1007" s="109"/>
      <c r="BB1007" s="109"/>
      <c r="BC1007" s="109"/>
      <c r="BD1007" s="109"/>
      <c r="BE1007" s="109"/>
      <c r="BF1007" s="109"/>
      <c r="BG1007" s="109"/>
      <c r="BH1007" s="109"/>
      <c r="BI1007" s="109"/>
      <c r="BJ1007" s="109"/>
      <c r="BK1007" s="109"/>
    </row>
    <row r="1008">
      <c r="A1008" s="109"/>
      <c r="B1008" s="109"/>
      <c r="C1008" s="109"/>
      <c r="D1008" s="109"/>
      <c r="E1008" s="109"/>
      <c r="F1008" s="109"/>
      <c r="G1008" s="109"/>
      <c r="H1008" s="109"/>
      <c r="I1008" s="163"/>
      <c r="J1008" s="109"/>
      <c r="K1008" s="109"/>
      <c r="L1008" s="109"/>
      <c r="M1008" s="109"/>
      <c r="N1008" s="109"/>
      <c r="O1008" s="164"/>
      <c r="P1008" s="165"/>
      <c r="Q1008" s="165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  <c r="AG1008" s="109"/>
      <c r="AH1008" s="109"/>
      <c r="AI1008" s="109"/>
      <c r="AJ1008" s="109"/>
      <c r="AK1008" s="109"/>
      <c r="AL1008" s="109"/>
      <c r="AM1008" s="109"/>
      <c r="AN1008" s="109"/>
      <c r="AO1008" s="109"/>
      <c r="AP1008" s="109"/>
      <c r="AQ1008" s="109"/>
      <c r="AR1008" s="109"/>
      <c r="AS1008" s="109"/>
      <c r="AT1008" s="109"/>
      <c r="AU1008" s="109"/>
      <c r="AV1008" s="109"/>
      <c r="AW1008" s="109"/>
      <c r="AX1008" s="109"/>
      <c r="AY1008" s="109"/>
      <c r="AZ1008" s="109"/>
      <c r="BA1008" s="109"/>
      <c r="BB1008" s="109"/>
      <c r="BC1008" s="109"/>
      <c r="BD1008" s="109"/>
      <c r="BE1008" s="109"/>
      <c r="BF1008" s="109"/>
      <c r="BG1008" s="109"/>
      <c r="BH1008" s="109"/>
      <c r="BI1008" s="109"/>
      <c r="BJ1008" s="109"/>
      <c r="BK1008" s="109"/>
    </row>
    <row r="1009">
      <c r="A1009" s="109"/>
      <c r="B1009" s="109"/>
      <c r="C1009" s="109"/>
      <c r="D1009" s="109"/>
      <c r="E1009" s="109"/>
      <c r="F1009" s="109"/>
      <c r="G1009" s="109"/>
      <c r="H1009" s="109"/>
      <c r="I1009" s="163"/>
      <c r="J1009" s="109"/>
      <c r="K1009" s="109"/>
      <c r="L1009" s="109"/>
      <c r="M1009" s="109"/>
      <c r="N1009" s="109"/>
      <c r="O1009" s="164"/>
      <c r="P1009" s="165"/>
      <c r="Q1009" s="165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  <c r="AG1009" s="109"/>
      <c r="AH1009" s="109"/>
      <c r="AI1009" s="109"/>
      <c r="AJ1009" s="109"/>
      <c r="AK1009" s="109"/>
      <c r="AL1009" s="109"/>
      <c r="AM1009" s="109"/>
      <c r="AN1009" s="109"/>
      <c r="AO1009" s="109"/>
      <c r="AP1009" s="109"/>
      <c r="AQ1009" s="109"/>
      <c r="AR1009" s="109"/>
      <c r="AS1009" s="109"/>
      <c r="AT1009" s="109"/>
      <c r="AU1009" s="109"/>
      <c r="AV1009" s="109"/>
      <c r="AW1009" s="109"/>
      <c r="AX1009" s="109"/>
      <c r="AY1009" s="109"/>
      <c r="AZ1009" s="109"/>
      <c r="BA1009" s="109"/>
      <c r="BB1009" s="109"/>
      <c r="BC1009" s="109"/>
      <c r="BD1009" s="109"/>
      <c r="BE1009" s="109"/>
      <c r="BF1009" s="109"/>
      <c r="BG1009" s="109"/>
      <c r="BH1009" s="109"/>
      <c r="BI1009" s="109"/>
      <c r="BJ1009" s="109"/>
      <c r="BK1009" s="109"/>
    </row>
    <row r="1010">
      <c r="A1010" s="109"/>
      <c r="B1010" s="109"/>
      <c r="C1010" s="109"/>
      <c r="D1010" s="109"/>
      <c r="E1010" s="109"/>
      <c r="F1010" s="109"/>
      <c r="G1010" s="109"/>
      <c r="H1010" s="109"/>
      <c r="I1010" s="163"/>
      <c r="J1010" s="109"/>
      <c r="K1010" s="109"/>
      <c r="L1010" s="109"/>
      <c r="M1010" s="109"/>
      <c r="N1010" s="109"/>
      <c r="O1010" s="164"/>
      <c r="P1010" s="165"/>
      <c r="Q1010" s="165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  <c r="AG1010" s="109"/>
      <c r="AH1010" s="109"/>
      <c r="AI1010" s="109"/>
      <c r="AJ1010" s="109"/>
      <c r="AK1010" s="109"/>
      <c r="AL1010" s="109"/>
      <c r="AM1010" s="109"/>
      <c r="AN1010" s="109"/>
      <c r="AO1010" s="109"/>
      <c r="AP1010" s="109"/>
      <c r="AQ1010" s="109"/>
      <c r="AR1010" s="109"/>
      <c r="AS1010" s="109"/>
      <c r="AT1010" s="109"/>
      <c r="AU1010" s="109"/>
      <c r="AV1010" s="109"/>
      <c r="AW1010" s="109"/>
      <c r="AX1010" s="109"/>
      <c r="AY1010" s="109"/>
      <c r="AZ1010" s="109"/>
      <c r="BA1010" s="109"/>
      <c r="BB1010" s="109"/>
      <c r="BC1010" s="109"/>
      <c r="BD1010" s="109"/>
      <c r="BE1010" s="109"/>
      <c r="BF1010" s="109"/>
      <c r="BG1010" s="109"/>
      <c r="BH1010" s="109"/>
      <c r="BI1010" s="109"/>
      <c r="BJ1010" s="109"/>
      <c r="BK1010" s="109"/>
    </row>
    <row r="1011">
      <c r="A1011" s="109"/>
      <c r="B1011" s="109"/>
      <c r="C1011" s="109"/>
      <c r="D1011" s="109"/>
      <c r="E1011" s="109"/>
      <c r="F1011" s="109"/>
      <c r="G1011" s="109"/>
      <c r="H1011" s="109"/>
      <c r="I1011" s="163"/>
      <c r="J1011" s="109"/>
      <c r="K1011" s="109"/>
      <c r="L1011" s="109"/>
      <c r="M1011" s="109"/>
      <c r="N1011" s="109"/>
      <c r="O1011" s="164"/>
      <c r="P1011" s="165"/>
      <c r="Q1011" s="165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  <c r="AG1011" s="109"/>
      <c r="AH1011" s="109"/>
      <c r="AI1011" s="109"/>
      <c r="AJ1011" s="109"/>
      <c r="AK1011" s="109"/>
      <c r="AL1011" s="109"/>
      <c r="AM1011" s="109"/>
      <c r="AN1011" s="109"/>
      <c r="AO1011" s="109"/>
      <c r="AP1011" s="109"/>
      <c r="AQ1011" s="109"/>
      <c r="AR1011" s="109"/>
      <c r="AS1011" s="109"/>
      <c r="AT1011" s="109"/>
      <c r="AU1011" s="109"/>
      <c r="AV1011" s="109"/>
      <c r="AW1011" s="109"/>
      <c r="AX1011" s="109"/>
      <c r="AY1011" s="109"/>
      <c r="AZ1011" s="109"/>
      <c r="BA1011" s="109"/>
      <c r="BB1011" s="109"/>
      <c r="BC1011" s="109"/>
      <c r="BD1011" s="109"/>
      <c r="BE1011" s="109"/>
      <c r="BF1011" s="109"/>
      <c r="BG1011" s="109"/>
      <c r="BH1011" s="109"/>
      <c r="BI1011" s="109"/>
      <c r="BJ1011" s="109"/>
      <c r="BK1011" s="10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5" max="5" width="14.25"/>
    <col customWidth="1" min="7" max="7" width="13.75"/>
  </cols>
  <sheetData>
    <row r="1">
      <c r="A1" s="31" t="s">
        <v>653</v>
      </c>
    </row>
    <row r="2">
      <c r="A2" s="5"/>
    </row>
    <row r="3">
      <c r="A3" s="5" t="s">
        <v>654</v>
      </c>
    </row>
    <row r="5">
      <c r="A5" s="5" t="s">
        <v>655</v>
      </c>
    </row>
    <row r="7">
      <c r="A7" s="5" t="s">
        <v>656</v>
      </c>
    </row>
    <row r="9">
      <c r="A9" s="5" t="s">
        <v>657</v>
      </c>
    </row>
    <row r="11">
      <c r="A11" s="5" t="s">
        <v>658</v>
      </c>
    </row>
    <row r="13">
      <c r="A13" s="5" t="s">
        <v>661</v>
      </c>
    </row>
    <row r="15">
      <c r="A15" s="5" t="s">
        <v>662</v>
      </c>
    </row>
    <row r="17">
      <c r="A17" s="5" t="s">
        <v>665</v>
      </c>
    </row>
    <row r="18">
      <c r="C18" s="9" t="s">
        <v>170</v>
      </c>
      <c r="D18" s="5" t="s">
        <v>114</v>
      </c>
      <c r="E18" s="5" t="s">
        <v>670</v>
      </c>
      <c r="G18" s="9" t="s">
        <v>202</v>
      </c>
    </row>
    <row r="19">
      <c r="C19" s="9" t="s">
        <v>172</v>
      </c>
      <c r="D19" s="5" t="s">
        <v>43</v>
      </c>
    </row>
    <row r="20">
      <c r="C20" s="9" t="s">
        <v>178</v>
      </c>
      <c r="D20" s="5" t="s">
        <v>114</v>
      </c>
      <c r="I20" s="5" t="s">
        <v>107</v>
      </c>
    </row>
    <row r="21">
      <c r="C21" s="9" t="s">
        <v>181</v>
      </c>
      <c r="D21" s="5" t="s">
        <v>43</v>
      </c>
    </row>
    <row r="22">
      <c r="C22" s="9" t="s">
        <v>186</v>
      </c>
      <c r="D22" s="5" t="s">
        <v>114</v>
      </c>
    </row>
    <row r="23">
      <c r="C23" s="9" t="s">
        <v>192</v>
      </c>
      <c r="D23" s="5" t="s">
        <v>43</v>
      </c>
    </row>
    <row r="24">
      <c r="C24" s="9" t="s">
        <v>111</v>
      </c>
      <c r="D24" s="5" t="s">
        <v>43</v>
      </c>
    </row>
    <row r="25">
      <c r="C25" s="9" t="s">
        <v>115</v>
      </c>
      <c r="D25" s="5" t="s">
        <v>114</v>
      </c>
      <c r="E25" s="5" t="s">
        <v>671</v>
      </c>
    </row>
    <row r="26">
      <c r="C26" s="9" t="s">
        <v>116</v>
      </c>
      <c r="D26" s="5" t="s">
        <v>114</v>
      </c>
      <c r="E26" s="5" t="s">
        <v>671</v>
      </c>
    </row>
    <row r="27">
      <c r="C27" s="9" t="s">
        <v>118</v>
      </c>
      <c r="D27" s="5" t="s">
        <v>43</v>
      </c>
      <c r="E27" s="5" t="s">
        <v>671</v>
      </c>
    </row>
    <row r="28">
      <c r="C28" s="9" t="s">
        <v>119</v>
      </c>
      <c r="D28" s="5" t="s">
        <v>43</v>
      </c>
      <c r="E28" s="5" t="s">
        <v>671</v>
      </c>
    </row>
    <row r="29">
      <c r="C29" s="9" t="s">
        <v>228</v>
      </c>
      <c r="D29" s="5" t="s">
        <v>43</v>
      </c>
      <c r="E29" s="5" t="s">
        <v>671</v>
      </c>
    </row>
    <row r="30">
      <c r="C30" s="5" t="s">
        <v>673</v>
      </c>
    </row>
  </sheetData>
  <mergeCells count="1">
    <mergeCell ref="E18:E2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659</v>
      </c>
    </row>
    <row r="4">
      <c r="A4" s="119" t="s">
        <v>660</v>
      </c>
      <c r="B4" s="119" t="s">
        <v>663</v>
      </c>
      <c r="C4" s="119" t="s">
        <v>666</v>
      </c>
      <c r="D4" s="119" t="s">
        <v>667</v>
      </c>
      <c r="E4" s="119" t="s">
        <v>668</v>
      </c>
      <c r="F4" s="119" t="s">
        <v>669</v>
      </c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>
      <c r="A5" s="122">
        <v>0.0</v>
      </c>
      <c r="B5" s="122">
        <v>44.0</v>
      </c>
      <c r="C5" s="123"/>
      <c r="D5" s="123"/>
      <c r="E5" s="123"/>
    </row>
    <row r="6">
      <c r="A6" s="122">
        <v>1.0</v>
      </c>
      <c r="B6" s="122">
        <v>62.0</v>
      </c>
      <c r="C6" s="123">
        <f t="shared" ref="C6:C47" si="1">B6-B5</f>
        <v>18</v>
      </c>
      <c r="D6" s="122">
        <v>13.0</v>
      </c>
      <c r="E6" s="122">
        <v>13.0</v>
      </c>
      <c r="F6" s="125">
        <f t="shared" ref="F6:F47" si="2">E6/B6</f>
        <v>0.2096774194</v>
      </c>
    </row>
    <row r="7">
      <c r="A7" s="122">
        <v>2.0</v>
      </c>
      <c r="B7" s="122">
        <v>80.0</v>
      </c>
      <c r="C7" s="123">
        <f t="shared" si="1"/>
        <v>18</v>
      </c>
      <c r="D7" s="122">
        <v>17.0</v>
      </c>
      <c r="E7" s="123">
        <f t="shared" ref="E7:E47" si="3">E6+D7</f>
        <v>30</v>
      </c>
      <c r="F7" s="125">
        <f t="shared" si="2"/>
        <v>0.375</v>
      </c>
    </row>
    <row r="8">
      <c r="A8" s="122">
        <v>3.0</v>
      </c>
      <c r="B8" s="122">
        <v>101.0</v>
      </c>
      <c r="C8" s="123">
        <f t="shared" si="1"/>
        <v>21</v>
      </c>
      <c r="D8" s="122">
        <v>20.0</v>
      </c>
      <c r="E8" s="123">
        <f t="shared" si="3"/>
        <v>50</v>
      </c>
      <c r="F8" s="125">
        <f t="shared" si="2"/>
        <v>0.495049505</v>
      </c>
    </row>
    <row r="9">
      <c r="A9" s="122">
        <v>4.0</v>
      </c>
      <c r="B9" s="122">
        <v>124.0</v>
      </c>
      <c r="C9" s="123">
        <f t="shared" si="1"/>
        <v>23</v>
      </c>
      <c r="D9" s="122">
        <v>24.0</v>
      </c>
      <c r="E9" s="123">
        <f t="shared" si="3"/>
        <v>74</v>
      </c>
      <c r="F9" s="125">
        <f t="shared" si="2"/>
        <v>0.5967741935</v>
      </c>
    </row>
    <row r="10">
      <c r="A10" s="122">
        <v>5.0</v>
      </c>
      <c r="B10" s="122">
        <v>150.0</v>
      </c>
      <c r="C10" s="123">
        <f t="shared" si="1"/>
        <v>26</v>
      </c>
      <c r="D10" s="122">
        <v>27.0</v>
      </c>
      <c r="E10" s="123">
        <f t="shared" si="3"/>
        <v>101</v>
      </c>
      <c r="F10" s="125">
        <f t="shared" si="2"/>
        <v>0.6733333333</v>
      </c>
    </row>
    <row r="11">
      <c r="A11" s="122">
        <v>6.0</v>
      </c>
      <c r="B11" s="122">
        <v>179.0</v>
      </c>
      <c r="C11" s="123">
        <f t="shared" si="1"/>
        <v>29</v>
      </c>
      <c r="D11" s="122">
        <v>31.0</v>
      </c>
      <c r="E11" s="123">
        <f t="shared" si="3"/>
        <v>132</v>
      </c>
      <c r="F11" s="125">
        <f t="shared" si="2"/>
        <v>0.7374301676</v>
      </c>
    </row>
    <row r="12">
      <c r="A12" s="122">
        <v>7.0</v>
      </c>
      <c r="B12" s="122">
        <v>211.0</v>
      </c>
      <c r="C12" s="123">
        <f t="shared" si="1"/>
        <v>32</v>
      </c>
      <c r="D12" s="122">
        <v>35.0</v>
      </c>
      <c r="E12" s="123">
        <f t="shared" si="3"/>
        <v>167</v>
      </c>
      <c r="F12" s="125">
        <f t="shared" si="2"/>
        <v>0.7914691943</v>
      </c>
    </row>
    <row r="13">
      <c r="A13" s="122">
        <v>8.0</v>
      </c>
      <c r="B13" s="122">
        <v>247.0</v>
      </c>
      <c r="C13" s="123">
        <f t="shared" si="1"/>
        <v>36</v>
      </c>
      <c r="D13" s="122">
        <v>39.0</v>
      </c>
      <c r="E13" s="123">
        <f t="shared" si="3"/>
        <v>206</v>
      </c>
      <c r="F13" s="125">
        <f t="shared" si="2"/>
        <v>0.8340080972</v>
      </c>
    </row>
    <row r="14">
      <c r="A14" s="122">
        <v>9.0</v>
      </c>
      <c r="B14" s="122">
        <v>286.0</v>
      </c>
      <c r="C14" s="123">
        <f t="shared" si="1"/>
        <v>39</v>
      </c>
      <c r="D14" s="122">
        <v>43.0</v>
      </c>
      <c r="E14" s="123">
        <f t="shared" si="3"/>
        <v>249</v>
      </c>
      <c r="F14" s="125">
        <f t="shared" si="2"/>
        <v>0.8706293706</v>
      </c>
    </row>
    <row r="15">
      <c r="A15" s="122">
        <v>10.0</v>
      </c>
      <c r="B15" s="122">
        <v>328.0</v>
      </c>
      <c r="C15" s="123">
        <f t="shared" si="1"/>
        <v>42</v>
      </c>
      <c r="D15" s="122">
        <v>47.0</v>
      </c>
      <c r="E15" s="123">
        <f t="shared" si="3"/>
        <v>296</v>
      </c>
      <c r="F15" s="125">
        <f t="shared" si="2"/>
        <v>0.9024390244</v>
      </c>
    </row>
    <row r="16">
      <c r="A16" s="122">
        <v>11.0</v>
      </c>
      <c r="B16" s="122">
        <v>373.0</v>
      </c>
      <c r="C16" s="123">
        <f t="shared" si="1"/>
        <v>45</v>
      </c>
      <c r="D16" s="122">
        <v>52.0</v>
      </c>
      <c r="E16" s="123">
        <f t="shared" si="3"/>
        <v>348</v>
      </c>
      <c r="F16" s="125">
        <f t="shared" si="2"/>
        <v>0.9329758713</v>
      </c>
    </row>
    <row r="17">
      <c r="A17" s="122">
        <v>12.0</v>
      </c>
      <c r="B17" s="122">
        <v>422.0</v>
      </c>
      <c r="C17" s="123">
        <f t="shared" si="1"/>
        <v>49</v>
      </c>
      <c r="D17" s="122">
        <v>57.0</v>
      </c>
      <c r="E17" s="123">
        <f t="shared" si="3"/>
        <v>405</v>
      </c>
      <c r="F17" s="125">
        <f t="shared" si="2"/>
        <v>0.9597156398</v>
      </c>
    </row>
    <row r="18">
      <c r="A18" s="122">
        <v>13.0</v>
      </c>
      <c r="B18" s="122">
        <v>475.0</v>
      </c>
      <c r="C18" s="123">
        <f t="shared" si="1"/>
        <v>53</v>
      </c>
      <c r="D18" s="122">
        <v>61.0</v>
      </c>
      <c r="E18" s="123">
        <f t="shared" si="3"/>
        <v>466</v>
      </c>
      <c r="F18" s="125">
        <f t="shared" si="2"/>
        <v>0.9810526316</v>
      </c>
    </row>
    <row r="19">
      <c r="A19" s="122">
        <v>14.0</v>
      </c>
      <c r="B19" s="122">
        <v>531.0</v>
      </c>
      <c r="C19" s="123">
        <f t="shared" si="1"/>
        <v>56</v>
      </c>
      <c r="D19" s="122">
        <v>67.0</v>
      </c>
      <c r="E19" s="123">
        <f t="shared" si="3"/>
        <v>533</v>
      </c>
      <c r="F19" s="125">
        <f t="shared" si="2"/>
        <v>1.003766478</v>
      </c>
    </row>
    <row r="20">
      <c r="A20" s="122">
        <v>15.0</v>
      </c>
      <c r="B20" s="122">
        <v>590.0</v>
      </c>
      <c r="C20" s="123">
        <f t="shared" si="1"/>
        <v>59</v>
      </c>
      <c r="D20" s="122">
        <v>72.0</v>
      </c>
      <c r="E20" s="123">
        <f t="shared" si="3"/>
        <v>605</v>
      </c>
      <c r="F20" s="125">
        <f t="shared" si="2"/>
        <v>1.025423729</v>
      </c>
    </row>
    <row r="21">
      <c r="A21" s="122">
        <v>16.0</v>
      </c>
      <c r="B21" s="122">
        <v>652.0</v>
      </c>
      <c r="C21" s="123">
        <f t="shared" si="1"/>
        <v>62</v>
      </c>
      <c r="D21" s="122">
        <v>77.0</v>
      </c>
      <c r="E21" s="123">
        <f t="shared" si="3"/>
        <v>682</v>
      </c>
      <c r="F21" s="125">
        <f t="shared" si="2"/>
        <v>1.04601227</v>
      </c>
    </row>
    <row r="22">
      <c r="A22" s="122">
        <v>17.0</v>
      </c>
      <c r="B22" s="122">
        <v>718.0</v>
      </c>
      <c r="C22" s="123">
        <f t="shared" si="1"/>
        <v>66</v>
      </c>
      <c r="D22" s="122">
        <v>83.0</v>
      </c>
      <c r="E22" s="123">
        <f t="shared" si="3"/>
        <v>765</v>
      </c>
      <c r="F22" s="125">
        <f t="shared" si="2"/>
        <v>1.06545961</v>
      </c>
    </row>
    <row r="23">
      <c r="A23" s="122">
        <v>18.0</v>
      </c>
      <c r="B23" s="122">
        <v>786.0</v>
      </c>
      <c r="C23" s="123">
        <f t="shared" si="1"/>
        <v>68</v>
      </c>
      <c r="D23" s="122">
        <v>89.0</v>
      </c>
      <c r="E23" s="123">
        <f t="shared" si="3"/>
        <v>854</v>
      </c>
      <c r="F23" s="125">
        <f t="shared" si="2"/>
        <v>1.086513995</v>
      </c>
    </row>
    <row r="24">
      <c r="A24" s="122">
        <v>19.0</v>
      </c>
      <c r="B24" s="122">
        <v>858.0</v>
      </c>
      <c r="C24" s="123">
        <f t="shared" si="1"/>
        <v>72</v>
      </c>
      <c r="D24" s="122">
        <v>94.0</v>
      </c>
      <c r="E24" s="123">
        <f t="shared" si="3"/>
        <v>948</v>
      </c>
      <c r="F24" s="125">
        <f t="shared" si="2"/>
        <v>1.104895105</v>
      </c>
    </row>
    <row r="25">
      <c r="A25" s="122">
        <v>20.0</v>
      </c>
      <c r="B25" s="122">
        <v>933.0</v>
      </c>
      <c r="C25" s="123">
        <f t="shared" si="1"/>
        <v>75</v>
      </c>
      <c r="D25" s="122">
        <v>100.0</v>
      </c>
      <c r="E25" s="123">
        <f t="shared" si="3"/>
        <v>1048</v>
      </c>
      <c r="F25" s="125">
        <f t="shared" si="2"/>
        <v>1.123258307</v>
      </c>
    </row>
    <row r="26">
      <c r="A26" s="122">
        <v>21.0</v>
      </c>
      <c r="B26" s="122">
        <v>1010.0</v>
      </c>
      <c r="C26" s="123">
        <f t="shared" si="1"/>
        <v>77</v>
      </c>
      <c r="D26" s="122">
        <v>106.0</v>
      </c>
      <c r="E26" s="123">
        <f t="shared" si="3"/>
        <v>1154</v>
      </c>
      <c r="F26" s="125">
        <f t="shared" si="2"/>
        <v>1.142574257</v>
      </c>
    </row>
    <row r="27">
      <c r="A27" s="122">
        <v>22.0</v>
      </c>
      <c r="B27" s="122">
        <v>1090.0</v>
      </c>
      <c r="C27" s="123">
        <f t="shared" si="1"/>
        <v>80</v>
      </c>
      <c r="D27" s="122">
        <v>112.0</v>
      </c>
      <c r="E27" s="123">
        <f t="shared" si="3"/>
        <v>1266</v>
      </c>
      <c r="F27" s="125">
        <f t="shared" si="2"/>
        <v>1.16146789</v>
      </c>
    </row>
    <row r="28">
      <c r="A28" s="122">
        <v>23.0</v>
      </c>
      <c r="B28" s="122">
        <v>1172.0</v>
      </c>
      <c r="C28" s="123">
        <f t="shared" si="1"/>
        <v>82</v>
      </c>
      <c r="D28" s="122">
        <v>118.0</v>
      </c>
      <c r="E28" s="123">
        <f t="shared" si="3"/>
        <v>1384</v>
      </c>
      <c r="F28" s="125">
        <f t="shared" si="2"/>
        <v>1.180887372</v>
      </c>
    </row>
    <row r="29">
      <c r="A29" s="122">
        <v>24.0</v>
      </c>
      <c r="B29" s="122">
        <v>1257.0</v>
      </c>
      <c r="C29" s="123">
        <f t="shared" si="1"/>
        <v>85</v>
      </c>
      <c r="D29" s="122">
        <v>124.0</v>
      </c>
      <c r="E29" s="123">
        <f t="shared" si="3"/>
        <v>1508</v>
      </c>
      <c r="F29" s="125">
        <f t="shared" si="2"/>
        <v>1.199681782</v>
      </c>
    </row>
    <row r="30">
      <c r="A30" s="122">
        <v>25.0</v>
      </c>
      <c r="B30" s="122">
        <v>1344.0</v>
      </c>
      <c r="C30" s="123">
        <f t="shared" si="1"/>
        <v>87</v>
      </c>
      <c r="D30" s="122">
        <v>130.0</v>
      </c>
      <c r="E30" s="123">
        <f t="shared" si="3"/>
        <v>1638</v>
      </c>
      <c r="F30" s="125">
        <f t="shared" si="2"/>
        <v>1.21875</v>
      </c>
    </row>
    <row r="31">
      <c r="A31" s="122">
        <v>26.0</v>
      </c>
      <c r="B31" s="122">
        <v>1433.0</v>
      </c>
      <c r="C31" s="123">
        <f t="shared" si="1"/>
        <v>89</v>
      </c>
      <c r="D31" s="122">
        <v>136.0</v>
      </c>
      <c r="E31" s="123">
        <f t="shared" si="3"/>
        <v>1774</v>
      </c>
      <c r="F31" s="125">
        <f t="shared" si="2"/>
        <v>1.237962317</v>
      </c>
    </row>
    <row r="32">
      <c r="A32" s="122">
        <v>27.0</v>
      </c>
      <c r="B32" s="122">
        <v>1524.0</v>
      </c>
      <c r="C32" s="123">
        <f t="shared" si="1"/>
        <v>91</v>
      </c>
      <c r="D32" s="122">
        <v>141.0</v>
      </c>
      <c r="E32" s="123">
        <f t="shared" si="3"/>
        <v>1915</v>
      </c>
      <c r="F32" s="125">
        <f t="shared" si="2"/>
        <v>1.25656168</v>
      </c>
    </row>
    <row r="33">
      <c r="A33" s="122">
        <v>28.0</v>
      </c>
      <c r="B33" s="122">
        <v>1616.0</v>
      </c>
      <c r="C33" s="123">
        <f t="shared" si="1"/>
        <v>92</v>
      </c>
      <c r="D33" s="122">
        <v>147.0</v>
      </c>
      <c r="E33" s="123">
        <f t="shared" si="3"/>
        <v>2062</v>
      </c>
      <c r="F33" s="125">
        <f t="shared" si="2"/>
        <v>1.275990099</v>
      </c>
    </row>
    <row r="34">
      <c r="A34" s="122">
        <v>29.0</v>
      </c>
      <c r="B34" s="122">
        <v>1710.0</v>
      </c>
      <c r="C34" s="123">
        <f t="shared" si="1"/>
        <v>94</v>
      </c>
      <c r="D34" s="122">
        <v>153.0</v>
      </c>
      <c r="E34" s="123">
        <f t="shared" si="3"/>
        <v>2215</v>
      </c>
      <c r="F34" s="125">
        <f t="shared" si="2"/>
        <v>1.295321637</v>
      </c>
    </row>
    <row r="35">
      <c r="A35" s="122">
        <v>30.0</v>
      </c>
      <c r="B35" s="122">
        <v>1805.0</v>
      </c>
      <c r="C35" s="123">
        <f t="shared" si="1"/>
        <v>95</v>
      </c>
      <c r="D35" s="122">
        <v>158.0</v>
      </c>
      <c r="E35" s="123">
        <f t="shared" si="3"/>
        <v>2373</v>
      </c>
      <c r="F35" s="125">
        <f t="shared" si="2"/>
        <v>1.31468144</v>
      </c>
    </row>
    <row r="36">
      <c r="A36" s="122">
        <v>31.0</v>
      </c>
      <c r="B36" s="122">
        <v>1901.0</v>
      </c>
      <c r="C36" s="123">
        <f t="shared" si="1"/>
        <v>96</v>
      </c>
      <c r="D36" s="122">
        <v>163.0</v>
      </c>
      <c r="E36" s="123">
        <f t="shared" si="3"/>
        <v>2536</v>
      </c>
      <c r="F36" s="125">
        <f t="shared" si="2"/>
        <v>1.334034719</v>
      </c>
    </row>
    <row r="37">
      <c r="A37" s="122">
        <v>32.0</v>
      </c>
      <c r="B37" s="122">
        <v>1999.0</v>
      </c>
      <c r="C37" s="123">
        <f t="shared" si="1"/>
        <v>98</v>
      </c>
      <c r="D37" s="122">
        <v>169.0</v>
      </c>
      <c r="E37" s="123">
        <f t="shared" si="3"/>
        <v>2705</v>
      </c>
      <c r="F37" s="125">
        <f t="shared" si="2"/>
        <v>1.353176588</v>
      </c>
    </row>
    <row r="38">
      <c r="A38" s="122">
        <v>33.0</v>
      </c>
      <c r="B38" s="122">
        <v>2097.0</v>
      </c>
      <c r="C38" s="123">
        <f t="shared" si="1"/>
        <v>98</v>
      </c>
      <c r="D38" s="122">
        <v>174.0</v>
      </c>
      <c r="E38" s="123">
        <f t="shared" si="3"/>
        <v>2879</v>
      </c>
      <c r="F38" s="125">
        <f t="shared" si="2"/>
        <v>1.372913686</v>
      </c>
    </row>
    <row r="39">
      <c r="A39" s="122">
        <v>34.0</v>
      </c>
      <c r="B39" s="122">
        <v>2196.0</v>
      </c>
      <c r="C39" s="123">
        <f t="shared" si="1"/>
        <v>99</v>
      </c>
      <c r="D39" s="122">
        <v>179.0</v>
      </c>
      <c r="E39" s="123">
        <f t="shared" si="3"/>
        <v>3058</v>
      </c>
      <c r="F39" s="125">
        <f t="shared" si="2"/>
        <v>1.392531876</v>
      </c>
    </row>
    <row r="40">
      <c r="A40" s="122">
        <v>35.0</v>
      </c>
      <c r="B40" s="122">
        <v>2295.0</v>
      </c>
      <c r="C40" s="123">
        <f t="shared" si="1"/>
        <v>99</v>
      </c>
      <c r="D40" s="122">
        <v>183.0</v>
      </c>
      <c r="E40" s="123">
        <f t="shared" si="3"/>
        <v>3241</v>
      </c>
      <c r="F40" s="125">
        <f t="shared" si="2"/>
        <v>1.412200436</v>
      </c>
    </row>
    <row r="41">
      <c r="A41" s="122">
        <v>36.0</v>
      </c>
      <c r="B41" s="122">
        <v>2395.0</v>
      </c>
      <c r="C41" s="123">
        <f t="shared" si="1"/>
        <v>100</v>
      </c>
      <c r="D41" s="122">
        <v>188.0</v>
      </c>
      <c r="E41" s="123">
        <f t="shared" si="3"/>
        <v>3429</v>
      </c>
      <c r="F41" s="125">
        <f t="shared" si="2"/>
        <v>1.431732777</v>
      </c>
    </row>
    <row r="42">
      <c r="A42" s="122">
        <v>37.0</v>
      </c>
      <c r="B42" s="122">
        <v>2495.0</v>
      </c>
      <c r="C42" s="123">
        <f t="shared" si="1"/>
        <v>100</v>
      </c>
      <c r="D42" s="122">
        <v>192.0</v>
      </c>
      <c r="E42" s="123">
        <f t="shared" si="3"/>
        <v>3621</v>
      </c>
      <c r="F42" s="125">
        <f t="shared" si="2"/>
        <v>1.451302605</v>
      </c>
    </row>
    <row r="43">
      <c r="A43" s="122">
        <v>38.0</v>
      </c>
      <c r="B43" s="122">
        <v>2595.0</v>
      </c>
      <c r="C43" s="123">
        <f t="shared" si="1"/>
        <v>100</v>
      </c>
      <c r="D43" s="122">
        <v>196.0</v>
      </c>
      <c r="E43" s="123">
        <f t="shared" si="3"/>
        <v>3817</v>
      </c>
      <c r="F43" s="125">
        <f t="shared" si="2"/>
        <v>1.470905588</v>
      </c>
    </row>
    <row r="44">
      <c r="A44" s="122">
        <v>39.0</v>
      </c>
      <c r="B44" s="122">
        <v>2695.0</v>
      </c>
      <c r="C44" s="123">
        <f t="shared" si="1"/>
        <v>100</v>
      </c>
      <c r="D44" s="122">
        <v>200.0</v>
      </c>
      <c r="E44" s="123">
        <f t="shared" si="3"/>
        <v>4017</v>
      </c>
      <c r="F44" s="125">
        <f t="shared" si="2"/>
        <v>1.490538033</v>
      </c>
    </row>
    <row r="45">
      <c r="A45" s="122">
        <v>40.0</v>
      </c>
      <c r="B45" s="122">
        <v>2795.0</v>
      </c>
      <c r="C45" s="123">
        <f t="shared" si="1"/>
        <v>100</v>
      </c>
      <c r="D45" s="122">
        <v>204.0</v>
      </c>
      <c r="E45" s="123">
        <f t="shared" si="3"/>
        <v>4221</v>
      </c>
      <c r="F45" s="125">
        <f t="shared" si="2"/>
        <v>1.51019678</v>
      </c>
    </row>
    <row r="46">
      <c r="A46" s="122">
        <v>41.0</v>
      </c>
      <c r="B46" s="122">
        <v>2895.0</v>
      </c>
      <c r="C46" s="123">
        <f t="shared" si="1"/>
        <v>100</v>
      </c>
      <c r="D46" s="122">
        <v>207.0</v>
      </c>
      <c r="E46" s="123">
        <f t="shared" si="3"/>
        <v>4428</v>
      </c>
      <c r="F46" s="125">
        <f t="shared" si="2"/>
        <v>1.529533679</v>
      </c>
    </row>
    <row r="47">
      <c r="A47" s="122">
        <v>42.0</v>
      </c>
      <c r="B47" s="122">
        <v>2995.0</v>
      </c>
      <c r="C47" s="123">
        <f t="shared" si="1"/>
        <v>100</v>
      </c>
      <c r="D47" s="122">
        <v>211.0</v>
      </c>
      <c r="E47" s="123">
        <f t="shared" si="3"/>
        <v>4639</v>
      </c>
      <c r="F47" s="125">
        <f t="shared" si="2"/>
        <v>1.548914858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13"/>
    <col customWidth="1" min="3" max="3" width="10.88"/>
    <col customWidth="1" min="4" max="4" width="12.25"/>
    <col customWidth="1" min="5" max="5" width="9.75"/>
    <col customWidth="1" min="6" max="6" width="9.13"/>
    <col customWidth="1" min="7" max="7" width="10.88"/>
    <col customWidth="1" min="8" max="8" width="12.25"/>
  </cols>
  <sheetData>
    <row r="1">
      <c r="A1" s="5" t="s">
        <v>677</v>
      </c>
    </row>
    <row r="3">
      <c r="A3" s="131" t="s">
        <v>678</v>
      </c>
      <c r="B3" s="131" t="s">
        <v>679</v>
      </c>
      <c r="C3" s="131" t="s">
        <v>680</v>
      </c>
      <c r="D3" s="131" t="s">
        <v>162</v>
      </c>
      <c r="E3" s="131" t="s">
        <v>678</v>
      </c>
      <c r="F3" s="131" t="s">
        <v>679</v>
      </c>
      <c r="G3" s="131" t="s">
        <v>680</v>
      </c>
      <c r="H3" s="131" t="s">
        <v>162</v>
      </c>
    </row>
    <row r="4">
      <c r="A4" s="122">
        <v>1.0</v>
      </c>
      <c r="B4" s="122">
        <v>66.0</v>
      </c>
      <c r="C4" s="122">
        <v>11.0</v>
      </c>
      <c r="D4" s="132" t="s">
        <v>682</v>
      </c>
      <c r="E4" s="122">
        <v>46.0</v>
      </c>
      <c r="F4" s="122">
        <v>1935.0</v>
      </c>
      <c r="G4" s="122">
        <v>113.0</v>
      </c>
      <c r="H4" s="132">
        <v>93.2</v>
      </c>
    </row>
    <row r="5">
      <c r="A5" s="122">
        <v>2.0</v>
      </c>
      <c r="B5" s="122">
        <v>136.0</v>
      </c>
      <c r="C5" s="122">
        <v>17.0</v>
      </c>
      <c r="D5" s="132" t="s">
        <v>682</v>
      </c>
      <c r="E5" s="122">
        <v>47.0</v>
      </c>
      <c r="F5" s="122">
        <v>1939.0</v>
      </c>
      <c r="G5" s="122">
        <v>113.0</v>
      </c>
      <c r="H5" s="132">
        <v>92.9</v>
      </c>
    </row>
    <row r="6">
      <c r="A6" s="122">
        <v>3.0</v>
      </c>
      <c r="B6" s="122">
        <v>216.0</v>
      </c>
      <c r="C6" s="122">
        <v>25.0</v>
      </c>
      <c r="D6" s="132" t="s">
        <v>682</v>
      </c>
      <c r="E6" s="122">
        <v>48.0</v>
      </c>
      <c r="F6" s="122">
        <v>1942.0</v>
      </c>
      <c r="G6" s="122">
        <v>113.0</v>
      </c>
      <c r="H6" s="132">
        <v>92.6</v>
      </c>
    </row>
    <row r="7">
      <c r="A7" s="122">
        <v>4.0</v>
      </c>
      <c r="B7" s="122">
        <v>304.0</v>
      </c>
      <c r="C7" s="122">
        <v>32.0</v>
      </c>
      <c r="D7" s="132" t="s">
        <v>682</v>
      </c>
      <c r="E7" s="122">
        <v>49.0</v>
      </c>
      <c r="F7" s="122">
        <v>1946.0</v>
      </c>
      <c r="G7" s="122">
        <v>113.0</v>
      </c>
      <c r="H7" s="132">
        <v>92.3</v>
      </c>
    </row>
    <row r="8">
      <c r="A8" s="122">
        <v>5.0</v>
      </c>
      <c r="B8" s="122">
        <v>398.0</v>
      </c>
      <c r="C8" s="122">
        <v>37.0</v>
      </c>
      <c r="D8" s="132" t="s">
        <v>682</v>
      </c>
      <c r="E8" s="122">
        <v>50.0</v>
      </c>
      <c r="F8" s="122">
        <v>1949.0</v>
      </c>
      <c r="G8" s="122">
        <v>113.0</v>
      </c>
      <c r="H8" s="132">
        <v>92.0</v>
      </c>
    </row>
    <row r="9">
      <c r="A9" s="122">
        <v>6.0</v>
      </c>
      <c r="B9" s="122">
        <v>497.0</v>
      </c>
      <c r="C9" s="122">
        <v>42.0</v>
      </c>
      <c r="D9" s="132" t="s">
        <v>682</v>
      </c>
      <c r="E9" s="122">
        <v>51.0</v>
      </c>
      <c r="F9" s="122">
        <v>1953.0</v>
      </c>
      <c r="G9" s="122">
        <v>113.0</v>
      </c>
      <c r="H9" s="132">
        <v>91.6</v>
      </c>
    </row>
    <row r="10">
      <c r="A10" s="122">
        <v>7.0</v>
      </c>
      <c r="B10" s="122">
        <v>599.0</v>
      </c>
      <c r="C10" s="122">
        <v>46.0</v>
      </c>
      <c r="D10" s="132" t="s">
        <v>682</v>
      </c>
      <c r="E10" s="122">
        <v>52.0</v>
      </c>
      <c r="F10" s="122">
        <v>1956.0</v>
      </c>
      <c r="G10" s="122">
        <v>113.0</v>
      </c>
      <c r="H10" s="132">
        <v>91.3</v>
      </c>
    </row>
    <row r="11">
      <c r="A11" s="122">
        <v>8.0</v>
      </c>
      <c r="B11" s="122">
        <v>702.0</v>
      </c>
      <c r="C11" s="122">
        <v>50.0</v>
      </c>
      <c r="D11" s="132" t="s">
        <v>682</v>
      </c>
      <c r="E11" s="122">
        <v>53.0</v>
      </c>
      <c r="F11" s="122">
        <v>1959.0</v>
      </c>
      <c r="G11" s="122">
        <v>113.0</v>
      </c>
      <c r="H11" s="132">
        <v>90.9</v>
      </c>
    </row>
    <row r="12">
      <c r="A12" s="122">
        <v>9.0</v>
      </c>
      <c r="B12" s="122">
        <v>806.0</v>
      </c>
      <c r="C12" s="122">
        <v>54.0</v>
      </c>
      <c r="D12" s="132" t="s">
        <v>682</v>
      </c>
      <c r="E12" s="122">
        <v>54.0</v>
      </c>
      <c r="F12" s="122">
        <v>1962.0</v>
      </c>
      <c r="G12" s="122">
        <v>113.0</v>
      </c>
      <c r="H12" s="132">
        <v>90.5</v>
      </c>
    </row>
    <row r="13">
      <c r="A13" s="122">
        <v>10.0</v>
      </c>
      <c r="B13" s="122">
        <v>909.0</v>
      </c>
      <c r="C13" s="122">
        <v>58.0</v>
      </c>
      <c r="D13" s="132" t="s">
        <v>682</v>
      </c>
      <c r="E13" s="122">
        <v>55.0</v>
      </c>
      <c r="F13" s="122">
        <v>1965.0</v>
      </c>
      <c r="G13" s="122">
        <v>113.0</v>
      </c>
      <c r="H13" s="132">
        <v>90.2</v>
      </c>
    </row>
    <row r="14">
      <c r="A14" s="122">
        <v>11.0</v>
      </c>
      <c r="B14" s="122">
        <v>1009.0</v>
      </c>
      <c r="C14" s="122">
        <v>61.0</v>
      </c>
      <c r="D14" s="132" t="s">
        <v>682</v>
      </c>
      <c r="E14" s="122">
        <v>56.0</v>
      </c>
      <c r="F14" s="122">
        <v>1967.0</v>
      </c>
      <c r="G14" s="122">
        <v>113.0</v>
      </c>
      <c r="H14" s="132">
        <v>89.8</v>
      </c>
    </row>
    <row r="15">
      <c r="A15" s="122">
        <v>12.0</v>
      </c>
      <c r="B15" s="122">
        <v>1107.0</v>
      </c>
      <c r="C15" s="122">
        <v>64.0</v>
      </c>
      <c r="D15" s="132" t="s">
        <v>682</v>
      </c>
      <c r="E15" s="122">
        <v>57.0</v>
      </c>
      <c r="F15" s="122">
        <v>1969.0</v>
      </c>
      <c r="G15" s="122">
        <v>113.0</v>
      </c>
      <c r="H15" s="132">
        <v>89.4</v>
      </c>
    </row>
    <row r="16">
      <c r="A16" s="122">
        <v>13.0</v>
      </c>
      <c r="B16" s="122">
        <v>1200.0</v>
      </c>
      <c r="C16" s="122">
        <v>67.0</v>
      </c>
      <c r="D16" s="132" t="s">
        <v>682</v>
      </c>
      <c r="E16" s="122">
        <v>58.0</v>
      </c>
      <c r="F16" s="122">
        <v>1971.0</v>
      </c>
      <c r="G16" s="122">
        <v>113.0</v>
      </c>
      <c r="H16" s="132">
        <v>89.0</v>
      </c>
    </row>
    <row r="17">
      <c r="A17" s="122">
        <v>14.0</v>
      </c>
      <c r="B17" s="122">
        <v>1287.0</v>
      </c>
      <c r="C17" s="122">
        <v>70.0</v>
      </c>
      <c r="D17" s="132" t="s">
        <v>682</v>
      </c>
      <c r="E17" s="122">
        <v>59.0</v>
      </c>
      <c r="F17" s="122">
        <v>1973.0</v>
      </c>
      <c r="G17" s="122">
        <v>113.0</v>
      </c>
      <c r="H17" s="132">
        <v>88.5</v>
      </c>
    </row>
    <row r="18">
      <c r="A18" s="122">
        <v>15.0</v>
      </c>
      <c r="B18" s="122">
        <v>1370.0</v>
      </c>
      <c r="C18" s="122">
        <v>73.0</v>
      </c>
      <c r="D18" s="132" t="s">
        <v>682</v>
      </c>
      <c r="E18" s="122">
        <v>60.0</v>
      </c>
      <c r="F18" s="122">
        <v>1975.0</v>
      </c>
      <c r="G18" s="122">
        <v>113.0</v>
      </c>
      <c r="H18" s="132">
        <v>88.1</v>
      </c>
    </row>
    <row r="19">
      <c r="A19" s="122">
        <v>16.0</v>
      </c>
      <c r="B19" s="122">
        <v>1445.0</v>
      </c>
      <c r="C19" s="122">
        <v>76.0</v>
      </c>
      <c r="D19" s="132" t="s">
        <v>682</v>
      </c>
      <c r="E19" s="122">
        <v>61.0</v>
      </c>
      <c r="F19" s="122">
        <v>1976.0</v>
      </c>
      <c r="G19" s="122">
        <v>113.0</v>
      </c>
      <c r="H19" s="132">
        <v>87.7</v>
      </c>
    </row>
    <row r="20">
      <c r="A20" s="122">
        <v>17.0</v>
      </c>
      <c r="B20" s="122">
        <v>1514.0</v>
      </c>
      <c r="C20" s="122">
        <v>79.0</v>
      </c>
      <c r="D20" s="132" t="s">
        <v>682</v>
      </c>
      <c r="E20" s="122">
        <v>62.0</v>
      </c>
      <c r="F20" s="122">
        <v>1978.0</v>
      </c>
      <c r="G20" s="122">
        <v>113.0</v>
      </c>
      <c r="H20" s="132">
        <v>87.2</v>
      </c>
    </row>
    <row r="21">
      <c r="A21" s="122">
        <v>18.0</v>
      </c>
      <c r="B21" s="122">
        <v>1576.0</v>
      </c>
      <c r="C21" s="122">
        <v>84.0</v>
      </c>
      <c r="D21" s="132">
        <v>3.8</v>
      </c>
      <c r="E21" s="122">
        <v>63.0</v>
      </c>
      <c r="F21" s="122">
        <v>1980.0</v>
      </c>
      <c r="G21" s="122">
        <v>113.0</v>
      </c>
      <c r="H21" s="132">
        <v>86.8</v>
      </c>
    </row>
    <row r="22">
      <c r="A22" s="122">
        <v>19.0</v>
      </c>
      <c r="B22" s="122">
        <v>1630.0</v>
      </c>
      <c r="C22" s="122">
        <v>89.0</v>
      </c>
      <c r="D22" s="132">
        <v>16.9</v>
      </c>
      <c r="E22" s="122">
        <v>64.0</v>
      </c>
      <c r="F22" s="122">
        <v>1981.0</v>
      </c>
      <c r="G22" s="122">
        <v>113.0</v>
      </c>
      <c r="H22" s="132">
        <v>86.3</v>
      </c>
    </row>
    <row r="23">
      <c r="A23" s="122">
        <v>20.0</v>
      </c>
      <c r="B23" s="122">
        <v>1676.0</v>
      </c>
      <c r="C23" s="122">
        <v>97.0</v>
      </c>
      <c r="D23" s="132">
        <v>40.1</v>
      </c>
      <c r="E23" s="122">
        <v>65.0</v>
      </c>
      <c r="F23" s="122">
        <v>1982.0</v>
      </c>
      <c r="G23" s="122">
        <v>113.0</v>
      </c>
      <c r="H23" s="132">
        <v>85.9</v>
      </c>
    </row>
    <row r="24">
      <c r="A24" s="122">
        <v>21.0</v>
      </c>
      <c r="B24" s="122">
        <v>1713.0</v>
      </c>
      <c r="C24" s="122">
        <v>104.0</v>
      </c>
      <c r="D24" s="132">
        <v>63.8</v>
      </c>
      <c r="E24" s="122">
        <v>66.0</v>
      </c>
      <c r="F24" s="122">
        <v>1984.0</v>
      </c>
      <c r="G24" s="122">
        <v>113.0</v>
      </c>
      <c r="H24" s="132">
        <v>85.4</v>
      </c>
    </row>
    <row r="25">
      <c r="A25" s="122">
        <v>22.0</v>
      </c>
      <c r="B25" s="122">
        <v>1750.0</v>
      </c>
      <c r="C25" s="122">
        <v>110.0</v>
      </c>
      <c r="D25" s="132">
        <v>82.1</v>
      </c>
      <c r="E25" s="122">
        <v>67.0</v>
      </c>
      <c r="F25" s="122">
        <v>1985.0</v>
      </c>
      <c r="G25" s="122">
        <v>113.0</v>
      </c>
      <c r="H25" s="132">
        <v>84.9</v>
      </c>
    </row>
    <row r="26">
      <c r="A26" s="122">
        <v>23.0</v>
      </c>
      <c r="B26" s="122">
        <v>1767.0</v>
      </c>
      <c r="C26" s="122">
        <v>112.0</v>
      </c>
      <c r="D26" s="132">
        <v>92.4</v>
      </c>
      <c r="E26" s="122">
        <v>68.0</v>
      </c>
      <c r="F26" s="122">
        <v>1986.0</v>
      </c>
      <c r="G26" s="122">
        <v>113.0</v>
      </c>
      <c r="H26" s="132">
        <v>84.4</v>
      </c>
    </row>
    <row r="27">
      <c r="A27" s="122">
        <v>24.0</v>
      </c>
      <c r="B27" s="122">
        <v>1782.0</v>
      </c>
      <c r="C27" s="122">
        <v>112.0</v>
      </c>
      <c r="D27" s="132">
        <v>95.4</v>
      </c>
      <c r="E27" s="122">
        <v>69.0</v>
      </c>
      <c r="F27" s="122">
        <v>1987.0</v>
      </c>
      <c r="G27" s="122">
        <v>113.0</v>
      </c>
      <c r="H27" s="132">
        <v>84.0</v>
      </c>
    </row>
    <row r="28">
      <c r="A28" s="122">
        <v>25.0</v>
      </c>
      <c r="B28" s="122">
        <v>1796.0</v>
      </c>
      <c r="C28" s="122">
        <v>112.0</v>
      </c>
      <c r="D28" s="132">
        <v>96.1</v>
      </c>
      <c r="E28" s="122">
        <v>70.0</v>
      </c>
      <c r="F28" s="122">
        <v>1988.0</v>
      </c>
      <c r="G28" s="122">
        <v>113.0</v>
      </c>
      <c r="H28" s="132">
        <v>83.5</v>
      </c>
    </row>
    <row r="29">
      <c r="A29" s="122">
        <v>26.0</v>
      </c>
      <c r="B29" s="122">
        <v>1809.0</v>
      </c>
      <c r="C29" s="122">
        <v>112.0</v>
      </c>
      <c r="D29" s="132">
        <v>96.1</v>
      </c>
      <c r="E29" s="122">
        <v>71.0</v>
      </c>
      <c r="F29" s="122">
        <v>1989.0</v>
      </c>
      <c r="G29" s="122">
        <v>113.0</v>
      </c>
      <c r="H29" s="132">
        <v>83.0</v>
      </c>
    </row>
    <row r="30">
      <c r="A30" s="122">
        <v>27.0</v>
      </c>
      <c r="B30" s="122">
        <v>1821.0</v>
      </c>
      <c r="C30" s="122">
        <v>112.0</v>
      </c>
      <c r="D30" s="132">
        <v>96.0</v>
      </c>
      <c r="E30" s="122">
        <v>72.0</v>
      </c>
      <c r="F30" s="122">
        <v>1990.0</v>
      </c>
      <c r="G30" s="122">
        <v>113.0</v>
      </c>
      <c r="H30" s="132">
        <v>82.5</v>
      </c>
    </row>
    <row r="31">
      <c r="A31" s="122">
        <v>28.0</v>
      </c>
      <c r="B31" s="122">
        <v>1831.0</v>
      </c>
      <c r="C31" s="122">
        <v>112.0</v>
      </c>
      <c r="D31" s="132">
        <v>96.0</v>
      </c>
      <c r="E31" s="122">
        <v>73.0</v>
      </c>
      <c r="F31" s="122">
        <v>1991.0</v>
      </c>
      <c r="G31" s="122">
        <v>113.0</v>
      </c>
      <c r="H31" s="132">
        <v>82.0</v>
      </c>
    </row>
    <row r="32">
      <c r="A32" s="122">
        <v>29.0</v>
      </c>
      <c r="B32" s="122">
        <v>1841.0</v>
      </c>
      <c r="C32" s="122">
        <v>112.0</v>
      </c>
      <c r="D32" s="132">
        <v>96.0</v>
      </c>
      <c r="E32" s="122">
        <v>74.0</v>
      </c>
      <c r="F32" s="122">
        <v>1991.0</v>
      </c>
      <c r="G32" s="122">
        <v>113.0</v>
      </c>
      <c r="H32" s="132">
        <v>81.5</v>
      </c>
    </row>
    <row r="33">
      <c r="A33" s="122">
        <v>30.0</v>
      </c>
      <c r="B33" s="122">
        <v>1850.0</v>
      </c>
      <c r="C33" s="122">
        <v>112.0</v>
      </c>
      <c r="D33" s="132">
        <v>95.9</v>
      </c>
      <c r="E33" s="122">
        <v>75.0</v>
      </c>
      <c r="F33" s="122">
        <v>1992.0</v>
      </c>
      <c r="G33" s="122">
        <v>113.0</v>
      </c>
      <c r="H33" s="132">
        <v>81.0</v>
      </c>
    </row>
    <row r="34">
      <c r="A34" s="122">
        <v>31.0</v>
      </c>
      <c r="B34" s="122">
        <v>1858.0</v>
      </c>
      <c r="C34" s="122">
        <v>112.0</v>
      </c>
      <c r="D34" s="132">
        <v>95.9</v>
      </c>
      <c r="E34" s="122">
        <v>76.0</v>
      </c>
      <c r="F34" s="122">
        <v>1993.0</v>
      </c>
      <c r="G34" s="122">
        <v>113.0</v>
      </c>
      <c r="H34" s="132">
        <v>80.6</v>
      </c>
    </row>
    <row r="35">
      <c r="A35" s="122">
        <v>32.0</v>
      </c>
      <c r="B35" s="122">
        <v>1866.0</v>
      </c>
      <c r="C35" s="122">
        <v>112.0</v>
      </c>
      <c r="D35" s="132">
        <v>95.8</v>
      </c>
      <c r="E35" s="122">
        <v>77.0</v>
      </c>
      <c r="F35" s="122">
        <v>1993.0</v>
      </c>
      <c r="G35" s="122">
        <v>113.0</v>
      </c>
      <c r="H35" s="132">
        <v>80.1</v>
      </c>
    </row>
    <row r="36">
      <c r="A36" s="122">
        <v>33.0</v>
      </c>
      <c r="B36" s="122">
        <v>1873.0</v>
      </c>
      <c r="C36" s="122">
        <v>112.0</v>
      </c>
      <c r="D36" s="132">
        <v>95.7</v>
      </c>
      <c r="E36" s="122">
        <v>78.0</v>
      </c>
      <c r="F36" s="122">
        <v>1994.0</v>
      </c>
      <c r="G36" s="122">
        <v>113.0</v>
      </c>
      <c r="H36" s="132">
        <v>79.6</v>
      </c>
    </row>
    <row r="37">
      <c r="A37" s="122">
        <v>34.0</v>
      </c>
      <c r="B37" s="122">
        <v>1879.0</v>
      </c>
      <c r="C37" s="122">
        <v>112.0</v>
      </c>
      <c r="D37" s="132">
        <v>95.6</v>
      </c>
      <c r="E37" s="122">
        <v>79.0</v>
      </c>
      <c r="F37" s="122">
        <v>1995.0</v>
      </c>
      <c r="G37" s="122">
        <v>113.0</v>
      </c>
      <c r="H37" s="132">
        <v>79.1</v>
      </c>
    </row>
    <row r="38">
      <c r="A38" s="122">
        <v>35.0</v>
      </c>
      <c r="B38" s="122">
        <v>1885.0</v>
      </c>
      <c r="C38" s="122">
        <v>112.0</v>
      </c>
      <c r="D38" s="132">
        <v>95.4</v>
      </c>
      <c r="E38" s="122">
        <v>80.0</v>
      </c>
      <c r="F38" s="122">
        <v>1995.0</v>
      </c>
      <c r="G38" s="122">
        <v>114.0</v>
      </c>
      <c r="H38" s="132">
        <v>78.7</v>
      </c>
    </row>
    <row r="39">
      <c r="A39" s="122">
        <v>36.0</v>
      </c>
      <c r="B39" s="122">
        <v>1891.0</v>
      </c>
      <c r="C39" s="122">
        <v>112.0</v>
      </c>
      <c r="D39" s="132">
        <v>95.3</v>
      </c>
      <c r="E39" s="122">
        <v>81.0</v>
      </c>
      <c r="F39" s="122">
        <v>1996.0</v>
      </c>
      <c r="G39" s="122">
        <v>114.0</v>
      </c>
      <c r="H39" s="132">
        <v>78.2</v>
      </c>
    </row>
    <row r="40">
      <c r="A40" s="122">
        <v>37.0</v>
      </c>
      <c r="B40" s="122">
        <v>1896.0</v>
      </c>
      <c r="C40" s="122">
        <v>112.0</v>
      </c>
      <c r="D40" s="132">
        <v>95.2</v>
      </c>
      <c r="E40" s="122">
        <v>82.0</v>
      </c>
      <c r="F40" s="122">
        <v>1996.0</v>
      </c>
      <c r="G40" s="122">
        <v>114.0</v>
      </c>
      <c r="H40" s="132">
        <v>77.8</v>
      </c>
    </row>
    <row r="41">
      <c r="A41" s="122">
        <v>38.0</v>
      </c>
      <c r="B41" s="122">
        <v>1901.0</v>
      </c>
      <c r="C41" s="122">
        <v>113.0</v>
      </c>
      <c r="D41" s="132">
        <v>95.0</v>
      </c>
      <c r="E41" s="122">
        <v>83.0</v>
      </c>
      <c r="F41" s="122">
        <v>1997.0</v>
      </c>
      <c r="G41" s="122">
        <v>114.0</v>
      </c>
      <c r="H41" s="132">
        <v>77.3</v>
      </c>
    </row>
    <row r="42">
      <c r="A42" s="122">
        <v>39.0</v>
      </c>
      <c r="B42" s="122">
        <v>1906.0</v>
      </c>
      <c r="C42" s="122">
        <v>113.0</v>
      </c>
      <c r="D42" s="132">
        <v>94.8</v>
      </c>
      <c r="E42" s="122">
        <v>84.0</v>
      </c>
      <c r="F42" s="122">
        <v>1997.0</v>
      </c>
      <c r="G42" s="122">
        <v>114.0</v>
      </c>
      <c r="H42" s="132">
        <v>76.8</v>
      </c>
    </row>
    <row r="43">
      <c r="A43" s="122">
        <v>40.0</v>
      </c>
      <c r="B43" s="122">
        <v>1911.0</v>
      </c>
      <c r="C43" s="122">
        <v>113.0</v>
      </c>
      <c r="D43" s="132">
        <v>94.6</v>
      </c>
      <c r="E43" s="122">
        <v>85.0</v>
      </c>
      <c r="F43" s="122">
        <v>1998.0</v>
      </c>
      <c r="G43" s="122">
        <v>114.0</v>
      </c>
      <c r="H43" s="132">
        <v>76.3</v>
      </c>
    </row>
    <row r="44">
      <c r="A44" s="122">
        <v>41.0</v>
      </c>
      <c r="B44" s="122">
        <v>1915.0</v>
      </c>
      <c r="C44" s="122">
        <v>113.0</v>
      </c>
      <c r="D44" s="132">
        <v>94.4</v>
      </c>
      <c r="E44" s="122">
        <v>86.0</v>
      </c>
      <c r="F44" s="122">
        <v>1998.0</v>
      </c>
      <c r="G44" s="122">
        <v>114.0</v>
      </c>
      <c r="H44" s="132">
        <v>75.8</v>
      </c>
    </row>
    <row r="45">
      <c r="A45" s="122">
        <v>42.0</v>
      </c>
      <c r="B45" s="122">
        <v>1919.0</v>
      </c>
      <c r="C45" s="122">
        <v>113.0</v>
      </c>
      <c r="D45" s="132">
        <v>94.2</v>
      </c>
      <c r="E45" s="122">
        <v>87.0</v>
      </c>
      <c r="F45" s="122">
        <v>1999.0</v>
      </c>
      <c r="G45" s="122">
        <v>114.0</v>
      </c>
      <c r="H45" s="132">
        <v>75.4</v>
      </c>
    </row>
    <row r="46">
      <c r="A46" s="122">
        <v>43.0</v>
      </c>
      <c r="B46" s="122">
        <v>1923.0</v>
      </c>
      <c r="C46" s="122">
        <v>113.0</v>
      </c>
      <c r="D46" s="132">
        <v>94.0</v>
      </c>
      <c r="E46" s="122">
        <v>88.0</v>
      </c>
      <c r="F46" s="122">
        <v>1999.0</v>
      </c>
      <c r="G46" s="122">
        <v>114.0</v>
      </c>
      <c r="H46" s="132">
        <v>74.9</v>
      </c>
    </row>
    <row r="47">
      <c r="A47" s="122">
        <v>44.0</v>
      </c>
      <c r="B47" s="122">
        <v>1927.0</v>
      </c>
      <c r="C47" s="122">
        <v>113.0</v>
      </c>
      <c r="D47" s="132">
        <v>93.7</v>
      </c>
      <c r="E47" s="122">
        <v>89.0</v>
      </c>
      <c r="F47" s="122">
        <v>2000.0</v>
      </c>
      <c r="G47" s="122">
        <v>114.0</v>
      </c>
      <c r="H47" s="132">
        <v>74.4</v>
      </c>
    </row>
    <row r="48">
      <c r="A48" s="122">
        <v>45.0</v>
      </c>
      <c r="B48" s="122">
        <v>1931.0</v>
      </c>
      <c r="C48" s="122">
        <v>113.0</v>
      </c>
      <c r="D48" s="132">
        <v>93.5</v>
      </c>
      <c r="E48" s="122">
        <v>90.0</v>
      </c>
      <c r="F48" s="122">
        <v>2000.0</v>
      </c>
      <c r="G48" s="122">
        <v>114.0</v>
      </c>
      <c r="H48" s="132">
        <v>73.9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13"/>
    <col customWidth="1" min="3" max="3" width="10.88"/>
    <col customWidth="1" min="4" max="4" width="12.25"/>
    <col customWidth="1" min="5" max="5" width="9.75"/>
    <col customWidth="1" min="6" max="6" width="9.13"/>
    <col customWidth="1" min="7" max="7" width="10.88"/>
    <col customWidth="1" min="8" max="8" width="12.25"/>
  </cols>
  <sheetData>
    <row r="1">
      <c r="A1" s="5" t="s">
        <v>687</v>
      </c>
    </row>
    <row r="3">
      <c r="A3" s="131" t="s">
        <v>678</v>
      </c>
      <c r="B3" s="131" t="s">
        <v>679</v>
      </c>
      <c r="C3" s="131" t="s">
        <v>680</v>
      </c>
      <c r="D3" s="131" t="s">
        <v>162</v>
      </c>
      <c r="E3" s="131" t="s">
        <v>678</v>
      </c>
      <c r="F3" s="131" t="s">
        <v>679</v>
      </c>
      <c r="G3" s="131" t="s">
        <v>680</v>
      </c>
      <c r="H3" s="131" t="s">
        <v>162</v>
      </c>
    </row>
    <row r="4">
      <c r="A4" s="122">
        <v>1.0</v>
      </c>
      <c r="B4" s="122">
        <v>67.0</v>
      </c>
      <c r="C4" s="122">
        <v>7.0</v>
      </c>
      <c r="D4" s="132" t="s">
        <v>682</v>
      </c>
      <c r="E4" s="122">
        <v>46.0</v>
      </c>
      <c r="F4" s="122">
        <v>1707.0</v>
      </c>
      <c r="G4" s="122">
        <v>110.0</v>
      </c>
      <c r="H4" s="132">
        <v>93.3</v>
      </c>
    </row>
    <row r="5">
      <c r="A5" s="122">
        <v>2.0</v>
      </c>
      <c r="B5" s="122">
        <v>129.0</v>
      </c>
      <c r="C5" s="122">
        <v>14.0</v>
      </c>
      <c r="D5" s="132" t="s">
        <v>682</v>
      </c>
      <c r="E5" s="122">
        <v>47.0</v>
      </c>
      <c r="F5" s="122">
        <v>1709.0</v>
      </c>
      <c r="G5" s="122">
        <v>110.0</v>
      </c>
      <c r="H5" s="132">
        <v>93.0</v>
      </c>
    </row>
    <row r="6">
      <c r="A6" s="122">
        <v>3.0</v>
      </c>
      <c r="B6" s="122">
        <v>199.0</v>
      </c>
      <c r="C6" s="122">
        <v>20.0</v>
      </c>
      <c r="D6" s="132" t="s">
        <v>682</v>
      </c>
      <c r="E6" s="122">
        <v>48.0</v>
      </c>
      <c r="F6" s="122">
        <v>1710.0</v>
      </c>
      <c r="G6" s="122">
        <v>110.0</v>
      </c>
      <c r="H6" s="132">
        <v>92.8</v>
      </c>
    </row>
    <row r="7">
      <c r="A7" s="122">
        <v>4.0</v>
      </c>
      <c r="B7" s="122">
        <v>273.0</v>
      </c>
      <c r="C7" s="122">
        <v>26.0</v>
      </c>
      <c r="D7" s="132" t="s">
        <v>682</v>
      </c>
      <c r="E7" s="122">
        <v>49.0</v>
      </c>
      <c r="F7" s="122">
        <v>1712.0</v>
      </c>
      <c r="G7" s="122">
        <v>110.0</v>
      </c>
      <c r="H7" s="132">
        <v>92.5</v>
      </c>
    </row>
    <row r="8">
      <c r="A8" s="122">
        <v>5.0</v>
      </c>
      <c r="B8" s="122">
        <v>350.0</v>
      </c>
      <c r="C8" s="122">
        <v>31.0</v>
      </c>
      <c r="D8" s="132" t="s">
        <v>682</v>
      </c>
      <c r="E8" s="122">
        <v>50.0</v>
      </c>
      <c r="F8" s="122">
        <v>1713.0</v>
      </c>
      <c r="G8" s="122">
        <v>110.0</v>
      </c>
      <c r="H8" s="132">
        <v>92.2</v>
      </c>
    </row>
    <row r="9">
      <c r="A9" s="122">
        <v>6.0</v>
      </c>
      <c r="B9" s="122">
        <v>430.0</v>
      </c>
      <c r="C9" s="122">
        <v>36.0</v>
      </c>
      <c r="D9" s="132" t="s">
        <v>682</v>
      </c>
      <c r="E9" s="122">
        <v>51.0</v>
      </c>
      <c r="F9" s="122">
        <v>1714.0</v>
      </c>
      <c r="G9" s="122">
        <v>110.0</v>
      </c>
      <c r="H9" s="132">
        <v>91.9</v>
      </c>
    </row>
    <row r="10">
      <c r="A10" s="122">
        <v>7.0</v>
      </c>
      <c r="B10" s="122">
        <v>511.0</v>
      </c>
      <c r="C10" s="122">
        <v>40.0</v>
      </c>
      <c r="D10" s="132" t="s">
        <v>682</v>
      </c>
      <c r="E10" s="122">
        <v>52.0</v>
      </c>
      <c r="F10" s="122">
        <v>1715.0</v>
      </c>
      <c r="G10" s="122">
        <v>110.0</v>
      </c>
      <c r="H10" s="132">
        <v>91.6</v>
      </c>
    </row>
    <row r="11">
      <c r="A11" s="122">
        <v>8.0</v>
      </c>
      <c r="B11" s="122">
        <v>594.0</v>
      </c>
      <c r="C11" s="122">
        <v>44.0</v>
      </c>
      <c r="D11" s="132" t="s">
        <v>682</v>
      </c>
      <c r="E11" s="122">
        <v>53.0</v>
      </c>
      <c r="F11" s="122">
        <v>1716.0</v>
      </c>
      <c r="G11" s="122">
        <v>110.0</v>
      </c>
      <c r="H11" s="132">
        <v>91.3</v>
      </c>
    </row>
    <row r="12">
      <c r="A12" s="122">
        <v>9.0</v>
      </c>
      <c r="B12" s="122">
        <v>677.0</v>
      </c>
      <c r="C12" s="122">
        <v>48.0</v>
      </c>
      <c r="D12" s="132" t="s">
        <v>682</v>
      </c>
      <c r="E12" s="122">
        <v>54.0</v>
      </c>
      <c r="F12" s="122">
        <v>1717.0</v>
      </c>
      <c r="G12" s="122">
        <v>110.0</v>
      </c>
      <c r="H12" s="132">
        <v>91.0</v>
      </c>
    </row>
    <row r="13">
      <c r="A13" s="122">
        <v>10.0</v>
      </c>
      <c r="B13" s="122">
        <v>760.0</v>
      </c>
      <c r="C13" s="122">
        <v>51.0</v>
      </c>
      <c r="D13" s="132" t="s">
        <v>682</v>
      </c>
      <c r="E13" s="122">
        <v>55.0</v>
      </c>
      <c r="F13" s="122">
        <v>1718.0</v>
      </c>
      <c r="G13" s="122">
        <v>110.0</v>
      </c>
      <c r="H13" s="132">
        <v>90.7</v>
      </c>
    </row>
    <row r="14">
      <c r="A14" s="122">
        <v>11.0</v>
      </c>
      <c r="B14" s="122">
        <v>842.0</v>
      </c>
      <c r="C14" s="122">
        <v>54.0</v>
      </c>
      <c r="D14" s="132" t="s">
        <v>682</v>
      </c>
      <c r="E14" s="122">
        <v>56.0</v>
      </c>
      <c r="F14" s="122">
        <v>1718.0</v>
      </c>
      <c r="G14" s="122">
        <v>110.0</v>
      </c>
      <c r="H14" s="132">
        <v>90.4</v>
      </c>
    </row>
    <row r="15">
      <c r="A15" s="122">
        <v>12.0</v>
      </c>
      <c r="B15" s="122">
        <v>923.0</v>
      </c>
      <c r="C15" s="122">
        <v>57.0</v>
      </c>
      <c r="D15" s="132" t="s">
        <v>682</v>
      </c>
      <c r="E15" s="122">
        <v>57.0</v>
      </c>
      <c r="F15" s="122">
        <v>1719.0</v>
      </c>
      <c r="G15" s="122">
        <v>110.0</v>
      </c>
      <c r="H15" s="132">
        <v>90.1</v>
      </c>
    </row>
    <row r="16">
      <c r="A16" s="122">
        <v>13.0</v>
      </c>
      <c r="B16" s="122">
        <v>1002.0</v>
      </c>
      <c r="C16" s="122">
        <v>60.0</v>
      </c>
      <c r="D16" s="132" t="s">
        <v>682</v>
      </c>
      <c r="E16" s="122">
        <v>58.0</v>
      </c>
      <c r="F16" s="122">
        <v>1719.0</v>
      </c>
      <c r="G16" s="122">
        <v>110.0</v>
      </c>
      <c r="H16" s="132">
        <v>89.8</v>
      </c>
    </row>
    <row r="17">
      <c r="A17" s="122">
        <v>14.0</v>
      </c>
      <c r="B17" s="122">
        <v>1079.0</v>
      </c>
      <c r="C17" s="122">
        <v>63.0</v>
      </c>
      <c r="D17" s="132" t="s">
        <v>682</v>
      </c>
      <c r="E17" s="122">
        <v>59.0</v>
      </c>
      <c r="F17" s="122">
        <v>1719.0</v>
      </c>
      <c r="G17" s="122">
        <v>110.0</v>
      </c>
      <c r="H17" s="132">
        <v>89.5</v>
      </c>
    </row>
    <row r="18">
      <c r="A18" s="122">
        <v>15.0</v>
      </c>
      <c r="B18" s="122">
        <v>1152.0</v>
      </c>
      <c r="C18" s="122">
        <v>65.0</v>
      </c>
      <c r="D18" s="132" t="s">
        <v>682</v>
      </c>
      <c r="E18" s="122">
        <v>60.0</v>
      </c>
      <c r="F18" s="122">
        <v>1720.0</v>
      </c>
      <c r="G18" s="122">
        <v>110.0</v>
      </c>
      <c r="H18" s="132">
        <v>89.2</v>
      </c>
    </row>
    <row r="19">
      <c r="A19" s="122">
        <v>16.0</v>
      </c>
      <c r="B19" s="122">
        <v>1222.0</v>
      </c>
      <c r="C19" s="122">
        <v>68.0</v>
      </c>
      <c r="D19" s="132" t="s">
        <v>682</v>
      </c>
      <c r="E19" s="122">
        <v>61.0</v>
      </c>
      <c r="F19" s="122">
        <v>1720.0</v>
      </c>
      <c r="G19" s="122">
        <v>110.0</v>
      </c>
      <c r="H19" s="132">
        <v>88.9</v>
      </c>
    </row>
    <row r="20">
      <c r="A20" s="122">
        <v>17.0</v>
      </c>
      <c r="B20" s="122">
        <v>1287.0</v>
      </c>
      <c r="C20" s="122">
        <v>72.0</v>
      </c>
      <c r="D20" s="132" t="s">
        <v>682</v>
      </c>
      <c r="E20" s="122">
        <v>62.0</v>
      </c>
      <c r="F20" s="122">
        <v>1720.0</v>
      </c>
      <c r="G20" s="122">
        <v>110.0</v>
      </c>
      <c r="H20" s="132">
        <v>88.6</v>
      </c>
    </row>
    <row r="21">
      <c r="A21" s="122">
        <v>18.0</v>
      </c>
      <c r="B21" s="122">
        <v>1346.0</v>
      </c>
      <c r="C21" s="122">
        <v>77.0</v>
      </c>
      <c r="D21" s="132" t="s">
        <v>682</v>
      </c>
      <c r="E21" s="122">
        <v>63.0</v>
      </c>
      <c r="F21" s="122">
        <v>1720.0</v>
      </c>
      <c r="G21" s="122">
        <v>110.0</v>
      </c>
      <c r="H21" s="132">
        <v>88.2</v>
      </c>
    </row>
    <row r="22">
      <c r="A22" s="122">
        <v>19.0</v>
      </c>
      <c r="B22" s="122">
        <v>1401.0</v>
      </c>
      <c r="C22" s="122">
        <v>82.0</v>
      </c>
      <c r="D22" s="132">
        <v>5.9</v>
      </c>
      <c r="E22" s="122">
        <v>64.0</v>
      </c>
      <c r="F22" s="122">
        <v>1720.0</v>
      </c>
      <c r="G22" s="122">
        <v>110.0</v>
      </c>
      <c r="H22" s="132">
        <v>87.8</v>
      </c>
    </row>
    <row r="23">
      <c r="A23" s="122">
        <v>20.0</v>
      </c>
      <c r="B23" s="122">
        <v>1450.0</v>
      </c>
      <c r="C23" s="122">
        <v>89.0</v>
      </c>
      <c r="D23" s="132">
        <v>43.6</v>
      </c>
      <c r="E23" s="122">
        <v>65.0</v>
      </c>
      <c r="F23" s="122">
        <v>1720.0</v>
      </c>
      <c r="G23" s="122">
        <v>111.0</v>
      </c>
      <c r="H23" s="132">
        <v>87.4</v>
      </c>
    </row>
    <row r="24">
      <c r="A24" s="122">
        <v>21.0</v>
      </c>
      <c r="B24" s="122">
        <v>1493.0</v>
      </c>
      <c r="C24" s="122">
        <v>96.0</v>
      </c>
      <c r="D24" s="132">
        <v>70.0</v>
      </c>
      <c r="E24" s="122">
        <v>66.0</v>
      </c>
      <c r="F24" s="122">
        <v>1720.0</v>
      </c>
      <c r="G24" s="122">
        <v>111.0</v>
      </c>
      <c r="H24" s="132">
        <v>87.0</v>
      </c>
    </row>
    <row r="25">
      <c r="A25" s="122">
        <v>22.0</v>
      </c>
      <c r="B25" s="122">
        <v>1529.0</v>
      </c>
      <c r="C25" s="122">
        <v>102.0</v>
      </c>
      <c r="D25" s="132">
        <v>85.8</v>
      </c>
      <c r="E25" s="122">
        <v>67.0</v>
      </c>
      <c r="F25" s="122">
        <v>1720.0</v>
      </c>
      <c r="G25" s="122">
        <v>111.0</v>
      </c>
      <c r="H25" s="132">
        <v>86.7</v>
      </c>
    </row>
    <row r="26">
      <c r="A26" s="122">
        <v>23.0</v>
      </c>
      <c r="B26" s="122">
        <v>1550.0</v>
      </c>
      <c r="C26" s="122">
        <v>105.0</v>
      </c>
      <c r="D26" s="132">
        <v>92.9</v>
      </c>
      <c r="E26" s="122">
        <v>68.0</v>
      </c>
      <c r="F26" s="122">
        <v>1721.0</v>
      </c>
      <c r="G26" s="122">
        <v>111.0</v>
      </c>
      <c r="H26" s="132">
        <v>86.3</v>
      </c>
    </row>
    <row r="27">
      <c r="A27" s="122">
        <v>24.0</v>
      </c>
      <c r="B27" s="122">
        <v>1567.0</v>
      </c>
      <c r="C27" s="122">
        <v>106.0</v>
      </c>
      <c r="D27" s="132">
        <v>94.4</v>
      </c>
      <c r="E27" s="122">
        <v>69.0</v>
      </c>
      <c r="F27" s="122">
        <v>1721.0</v>
      </c>
      <c r="G27" s="122">
        <v>111.0</v>
      </c>
      <c r="H27" s="132">
        <v>85.9</v>
      </c>
    </row>
    <row r="28">
      <c r="A28" s="122">
        <v>25.0</v>
      </c>
      <c r="B28" s="122">
        <v>1579.0</v>
      </c>
      <c r="C28" s="122">
        <v>106.0</v>
      </c>
      <c r="D28" s="132">
        <v>94.8</v>
      </c>
      <c r="E28" s="122">
        <v>70.0</v>
      </c>
      <c r="F28" s="122">
        <v>1721.0</v>
      </c>
      <c r="G28" s="122">
        <v>111.0</v>
      </c>
      <c r="H28" s="132">
        <v>85.5</v>
      </c>
    </row>
    <row r="29">
      <c r="A29" s="122">
        <v>26.0</v>
      </c>
      <c r="B29" s="122">
        <v>1591.0</v>
      </c>
      <c r="C29" s="122">
        <v>107.0</v>
      </c>
      <c r="D29" s="132">
        <v>95.0</v>
      </c>
      <c r="E29" s="122">
        <v>71.0</v>
      </c>
      <c r="F29" s="122">
        <v>1721.0</v>
      </c>
      <c r="G29" s="122">
        <v>111.0</v>
      </c>
      <c r="H29" s="132">
        <v>85.2</v>
      </c>
    </row>
    <row r="30">
      <c r="A30" s="122">
        <v>27.0</v>
      </c>
      <c r="B30" s="122">
        <v>1601.0</v>
      </c>
      <c r="C30" s="122">
        <v>107.0</v>
      </c>
      <c r="D30" s="132">
        <v>95.2</v>
      </c>
      <c r="E30" s="122">
        <v>72.0</v>
      </c>
      <c r="F30" s="122">
        <v>1721.0</v>
      </c>
      <c r="G30" s="122">
        <v>111.0</v>
      </c>
      <c r="H30" s="132">
        <v>84.8</v>
      </c>
    </row>
    <row r="31">
      <c r="A31" s="122">
        <v>28.0</v>
      </c>
      <c r="B31" s="122">
        <v>1611.0</v>
      </c>
      <c r="C31" s="122">
        <v>107.0</v>
      </c>
      <c r="D31" s="132">
        <v>95.3</v>
      </c>
      <c r="E31" s="122">
        <v>73.0</v>
      </c>
      <c r="F31" s="122">
        <v>1722.0</v>
      </c>
      <c r="G31" s="122">
        <v>111.0</v>
      </c>
      <c r="H31" s="132">
        <v>84.4</v>
      </c>
    </row>
    <row r="32">
      <c r="A32" s="122">
        <v>29.0</v>
      </c>
      <c r="B32" s="122">
        <v>1621.0</v>
      </c>
      <c r="C32" s="122">
        <v>108.0</v>
      </c>
      <c r="D32" s="132">
        <v>95.4</v>
      </c>
      <c r="E32" s="122">
        <v>74.0</v>
      </c>
      <c r="F32" s="122">
        <v>1722.0</v>
      </c>
      <c r="G32" s="122">
        <v>111.0</v>
      </c>
      <c r="H32" s="132">
        <v>84.0</v>
      </c>
    </row>
    <row r="33">
      <c r="A33" s="122">
        <v>30.0</v>
      </c>
      <c r="B33" s="122">
        <v>1630.0</v>
      </c>
      <c r="C33" s="122">
        <v>108.0</v>
      </c>
      <c r="D33" s="132">
        <v>95.5</v>
      </c>
      <c r="E33" s="122">
        <v>75.0</v>
      </c>
      <c r="F33" s="122">
        <v>1722.0</v>
      </c>
      <c r="G33" s="122">
        <v>111.0</v>
      </c>
      <c r="H33" s="132">
        <v>83.7</v>
      </c>
    </row>
    <row r="34">
      <c r="A34" s="122">
        <v>31.0</v>
      </c>
      <c r="B34" s="122">
        <v>1638.0</v>
      </c>
      <c r="C34" s="122">
        <v>108.0</v>
      </c>
      <c r="D34" s="132">
        <v>95.5</v>
      </c>
      <c r="E34" s="122">
        <v>76.0</v>
      </c>
      <c r="F34" s="122">
        <v>1722.0</v>
      </c>
      <c r="G34" s="122">
        <v>111.0</v>
      </c>
      <c r="H34" s="132">
        <v>83.3</v>
      </c>
    </row>
    <row r="35">
      <c r="A35" s="122">
        <v>32.0</v>
      </c>
      <c r="B35" s="122">
        <v>1646.0</v>
      </c>
      <c r="C35" s="122">
        <v>108.0</v>
      </c>
      <c r="D35" s="132">
        <v>95.5</v>
      </c>
      <c r="E35" s="122">
        <v>77.0</v>
      </c>
      <c r="F35" s="122">
        <v>1722.0</v>
      </c>
      <c r="G35" s="122">
        <v>111.0</v>
      </c>
      <c r="H35" s="132">
        <v>82.9</v>
      </c>
    </row>
    <row r="36">
      <c r="A36" s="122">
        <v>33.0</v>
      </c>
      <c r="B36" s="122">
        <v>1653.0</v>
      </c>
      <c r="C36" s="122">
        <v>109.0</v>
      </c>
      <c r="D36" s="132">
        <v>95.5</v>
      </c>
      <c r="E36" s="122">
        <v>78.0</v>
      </c>
      <c r="F36" s="122">
        <v>1723.0</v>
      </c>
      <c r="G36" s="122">
        <v>111.0</v>
      </c>
      <c r="H36" s="132">
        <v>82.5</v>
      </c>
    </row>
    <row r="37">
      <c r="A37" s="122">
        <v>34.0</v>
      </c>
      <c r="B37" s="122">
        <v>1659.0</v>
      </c>
      <c r="C37" s="122">
        <v>109.0</v>
      </c>
      <c r="D37" s="132">
        <v>95.5</v>
      </c>
      <c r="E37" s="122">
        <v>79.0</v>
      </c>
      <c r="F37" s="122">
        <v>1723.0</v>
      </c>
      <c r="G37" s="122">
        <v>111.0</v>
      </c>
      <c r="H37" s="132">
        <v>82.1</v>
      </c>
    </row>
    <row r="38">
      <c r="A38" s="122">
        <v>35.0</v>
      </c>
      <c r="B38" s="122">
        <v>1665.0</v>
      </c>
      <c r="C38" s="122">
        <v>109.0</v>
      </c>
      <c r="D38" s="132">
        <v>95.4</v>
      </c>
      <c r="E38" s="122">
        <v>80.0</v>
      </c>
      <c r="F38" s="122">
        <v>1723.0</v>
      </c>
      <c r="G38" s="122">
        <v>111.0</v>
      </c>
      <c r="H38" s="132">
        <v>81.8</v>
      </c>
    </row>
    <row r="39">
      <c r="A39" s="122">
        <v>36.0</v>
      </c>
      <c r="B39" s="122">
        <v>1671.0</v>
      </c>
      <c r="C39" s="122">
        <v>109.0</v>
      </c>
      <c r="D39" s="132">
        <v>95.3</v>
      </c>
      <c r="E39" s="122">
        <v>81.0</v>
      </c>
      <c r="F39" s="122">
        <v>1723.0</v>
      </c>
      <c r="G39" s="122">
        <v>111.0</v>
      </c>
      <c r="H39" s="132">
        <v>81.4</v>
      </c>
    </row>
    <row r="40">
      <c r="A40" s="122">
        <v>37.0</v>
      </c>
      <c r="B40" s="122">
        <v>1676.0</v>
      </c>
      <c r="C40" s="122">
        <v>109.0</v>
      </c>
      <c r="D40" s="132">
        <v>95.2</v>
      </c>
      <c r="E40" s="122">
        <v>82.0</v>
      </c>
      <c r="F40" s="122">
        <v>1723.0</v>
      </c>
      <c r="G40" s="122">
        <v>111.0</v>
      </c>
      <c r="H40" s="132">
        <v>81.0</v>
      </c>
    </row>
    <row r="41">
      <c r="A41" s="122">
        <v>38.0</v>
      </c>
      <c r="B41" s="122">
        <v>1681.0</v>
      </c>
      <c r="C41" s="122">
        <v>109.0</v>
      </c>
      <c r="D41" s="132">
        <v>95.0</v>
      </c>
      <c r="E41" s="122">
        <v>83.0</v>
      </c>
      <c r="F41" s="122">
        <v>1724.0</v>
      </c>
      <c r="G41" s="122">
        <v>111.0</v>
      </c>
      <c r="H41" s="132">
        <v>80.6</v>
      </c>
    </row>
    <row r="42">
      <c r="A42" s="122">
        <v>39.0</v>
      </c>
      <c r="B42" s="122">
        <v>1685.0</v>
      </c>
      <c r="C42" s="122">
        <v>110.0</v>
      </c>
      <c r="D42" s="132">
        <v>94.9</v>
      </c>
      <c r="E42" s="122">
        <v>84.0</v>
      </c>
      <c r="F42" s="122">
        <v>1724.0</v>
      </c>
      <c r="G42" s="122">
        <v>111.0</v>
      </c>
      <c r="H42" s="132">
        <v>80.3</v>
      </c>
    </row>
    <row r="43">
      <c r="A43" s="122">
        <v>40.0</v>
      </c>
      <c r="B43" s="122">
        <v>1689.0</v>
      </c>
      <c r="C43" s="122">
        <v>110.0</v>
      </c>
      <c r="D43" s="132">
        <v>94.7</v>
      </c>
      <c r="E43" s="122">
        <v>85.0</v>
      </c>
      <c r="F43" s="122">
        <v>1724.0</v>
      </c>
      <c r="G43" s="122">
        <v>111.0</v>
      </c>
      <c r="H43" s="132">
        <v>79.9</v>
      </c>
    </row>
    <row r="44">
      <c r="A44" s="122">
        <v>41.0</v>
      </c>
      <c r="B44" s="122">
        <v>1693.0</v>
      </c>
      <c r="C44" s="122">
        <v>110.0</v>
      </c>
      <c r="D44" s="132">
        <v>94.5</v>
      </c>
      <c r="E44" s="122">
        <v>86.0</v>
      </c>
      <c r="F44" s="122">
        <v>1724.0</v>
      </c>
      <c r="G44" s="122">
        <v>111.0</v>
      </c>
      <c r="H44" s="132">
        <v>79.5</v>
      </c>
    </row>
    <row r="45">
      <c r="A45" s="122">
        <v>42.0</v>
      </c>
      <c r="B45" s="122">
        <v>1696.0</v>
      </c>
      <c r="C45" s="122">
        <v>110.0</v>
      </c>
      <c r="D45" s="132">
        <v>94.3</v>
      </c>
      <c r="E45" s="122">
        <v>87.0</v>
      </c>
      <c r="F45" s="122">
        <v>1724.0</v>
      </c>
      <c r="G45" s="122">
        <v>111.0</v>
      </c>
      <c r="H45" s="132">
        <v>79.1</v>
      </c>
    </row>
    <row r="46">
      <c r="A46" s="122">
        <v>43.0</v>
      </c>
      <c r="B46" s="122">
        <v>1699.0</v>
      </c>
      <c r="C46" s="122">
        <v>110.0</v>
      </c>
      <c r="D46" s="132">
        <v>94.0</v>
      </c>
      <c r="E46" s="122">
        <v>88.0</v>
      </c>
      <c r="F46" s="122">
        <v>1725.0</v>
      </c>
      <c r="G46" s="122">
        <v>111.0</v>
      </c>
      <c r="H46" s="132">
        <v>78.8</v>
      </c>
    </row>
    <row r="47">
      <c r="A47" s="122">
        <v>44.0</v>
      </c>
      <c r="B47" s="122">
        <v>1702.0</v>
      </c>
      <c r="C47" s="122">
        <v>110.0</v>
      </c>
      <c r="D47" s="132">
        <v>93.8</v>
      </c>
      <c r="E47" s="122">
        <v>89.0</v>
      </c>
      <c r="F47" s="122">
        <v>1725.0</v>
      </c>
      <c r="G47" s="122">
        <v>111.0</v>
      </c>
      <c r="H47" s="132">
        <v>78.4</v>
      </c>
    </row>
    <row r="48">
      <c r="A48" s="122">
        <v>45.0</v>
      </c>
      <c r="B48" s="122">
        <v>1704.0</v>
      </c>
      <c r="C48" s="122">
        <v>110.0</v>
      </c>
      <c r="D48" s="132">
        <v>93.6</v>
      </c>
      <c r="E48" s="122">
        <v>90.0</v>
      </c>
      <c r="F48" s="122">
        <v>1725.0</v>
      </c>
      <c r="G48" s="122">
        <v>111.0</v>
      </c>
      <c r="H48" s="132">
        <v>78.0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0"/>
    <col customWidth="1" min="3" max="3" width="26.75"/>
    <col customWidth="1" min="10" max="10" width="20.63"/>
    <col customWidth="1" min="11" max="11" width="24.13"/>
  </cols>
  <sheetData>
    <row r="1">
      <c r="A1" s="5" t="s">
        <v>688</v>
      </c>
      <c r="B1" s="5" t="s">
        <v>689</v>
      </c>
    </row>
    <row r="2">
      <c r="B2" s="5" t="s">
        <v>660</v>
      </c>
      <c r="C2" s="31"/>
    </row>
    <row r="3">
      <c r="B3" s="5"/>
      <c r="C3" s="31" t="s">
        <v>359</v>
      </c>
    </row>
    <row r="4">
      <c r="B4" s="5" t="s">
        <v>690</v>
      </c>
      <c r="C4" s="5" t="s">
        <v>691</v>
      </c>
    </row>
    <row r="5">
      <c r="B5" s="5" t="s">
        <v>692</v>
      </c>
      <c r="C5" s="5" t="s">
        <v>693</v>
      </c>
    </row>
    <row r="6">
      <c r="B6" s="5" t="s">
        <v>669</v>
      </c>
      <c r="C6" s="5" t="s">
        <v>694</v>
      </c>
    </row>
    <row r="7">
      <c r="B7" s="5" t="s">
        <v>695</v>
      </c>
      <c r="C7" s="5" t="s">
        <v>696</v>
      </c>
    </row>
    <row r="8">
      <c r="B8" s="5" t="s">
        <v>697</v>
      </c>
      <c r="C8" s="5" t="s">
        <v>698</v>
      </c>
    </row>
    <row r="9">
      <c r="B9" s="5" t="s">
        <v>699</v>
      </c>
      <c r="C9" s="5" t="s">
        <v>700</v>
      </c>
    </row>
    <row r="10">
      <c r="B10" s="5" t="s">
        <v>701</v>
      </c>
      <c r="C10" s="5" t="s">
        <v>702</v>
      </c>
    </row>
    <row r="13">
      <c r="A13" s="5" t="s">
        <v>703</v>
      </c>
      <c r="B13" s="5" t="s">
        <v>704</v>
      </c>
      <c r="C13" s="5" t="s">
        <v>705</v>
      </c>
    </row>
    <row r="14">
      <c r="B14" s="5" t="s">
        <v>706</v>
      </c>
    </row>
    <row r="15">
      <c r="B15" s="5" t="s">
        <v>707</v>
      </c>
    </row>
    <row r="16">
      <c r="B16" s="5" t="s">
        <v>708</v>
      </c>
    </row>
    <row r="17">
      <c r="B17" s="5" t="s">
        <v>709</v>
      </c>
    </row>
    <row r="18">
      <c r="B18" s="5" t="s">
        <v>710</v>
      </c>
    </row>
    <row r="19">
      <c r="B19" s="5" t="s">
        <v>711</v>
      </c>
    </row>
    <row r="20">
      <c r="B20" s="5" t="s">
        <v>712</v>
      </c>
    </row>
    <row r="22">
      <c r="A22" s="5" t="s">
        <v>713</v>
      </c>
      <c r="B22" s="5" t="s">
        <v>704</v>
      </c>
      <c r="C22" s="5" t="s">
        <v>705</v>
      </c>
    </row>
    <row r="23">
      <c r="B23" s="5" t="s">
        <v>714</v>
      </c>
    </row>
    <row r="24">
      <c r="B24" s="5" t="s">
        <v>715</v>
      </c>
    </row>
    <row r="25">
      <c r="B25" s="5" t="s">
        <v>716</v>
      </c>
    </row>
    <row r="26">
      <c r="B26" s="5" t="s">
        <v>717</v>
      </c>
    </row>
    <row r="27">
      <c r="B27" s="5" t="s">
        <v>718</v>
      </c>
    </row>
    <row r="28">
      <c r="B28" s="5" t="s">
        <v>719</v>
      </c>
    </row>
    <row r="29">
      <c r="B29" s="5" t="s">
        <v>720</v>
      </c>
    </row>
    <row r="30">
      <c r="B30" s="5" t="s">
        <v>721</v>
      </c>
    </row>
    <row r="31">
      <c r="B31" s="5" t="s">
        <v>722</v>
      </c>
    </row>
    <row r="33">
      <c r="A33" s="5" t="s">
        <v>723</v>
      </c>
      <c r="B33" s="5" t="s">
        <v>704</v>
      </c>
      <c r="C33" s="5" t="s">
        <v>724</v>
      </c>
    </row>
    <row r="34">
      <c r="B34" s="5" t="s">
        <v>725</v>
      </c>
    </row>
    <row r="35">
      <c r="B35" s="5" t="s">
        <v>726</v>
      </c>
    </row>
    <row r="36">
      <c r="B36" s="5" t="s">
        <v>727</v>
      </c>
    </row>
    <row r="37">
      <c r="B37" s="5" t="s">
        <v>728</v>
      </c>
    </row>
    <row r="38">
      <c r="B38" s="5" t="s">
        <v>669</v>
      </c>
    </row>
    <row r="39">
      <c r="B39" s="5" t="s">
        <v>729</v>
      </c>
    </row>
    <row r="40">
      <c r="B40" s="5" t="s">
        <v>730</v>
      </c>
    </row>
    <row r="42">
      <c r="A42" s="5" t="s">
        <v>731</v>
      </c>
      <c r="B42" s="5" t="s">
        <v>732</v>
      </c>
      <c r="C42" s="5" t="s">
        <v>733</v>
      </c>
    </row>
    <row r="43">
      <c r="B43" s="5" t="s">
        <v>734</v>
      </c>
    </row>
    <row r="45">
      <c r="A45" s="5" t="s">
        <v>735</v>
      </c>
      <c r="B45" s="5" t="s">
        <v>736</v>
      </c>
      <c r="C45" s="5" t="s">
        <v>705</v>
      </c>
    </row>
    <row r="48">
      <c r="A48" s="134" t="s">
        <v>64</v>
      </c>
      <c r="B48" s="135" t="s">
        <v>704</v>
      </c>
      <c r="C48" s="135" t="s">
        <v>737</v>
      </c>
      <c r="D48" s="135" t="s">
        <v>738</v>
      </c>
      <c r="E48" s="135" t="s">
        <v>739</v>
      </c>
      <c r="F48" s="135" t="s">
        <v>740</v>
      </c>
      <c r="G48" s="136" t="s">
        <v>741</v>
      </c>
    </row>
    <row r="49">
      <c r="A49" s="137">
        <v>1.0</v>
      </c>
      <c r="B49" s="138" t="s">
        <v>742</v>
      </c>
      <c r="C49" s="139">
        <v>10.0</v>
      </c>
      <c r="D49" s="139">
        <v>1.0</v>
      </c>
      <c r="E49" s="140">
        <v>300000.0</v>
      </c>
      <c r="F49" s="141">
        <f>E49/10</f>
        <v>30000</v>
      </c>
      <c r="G49" s="142">
        <f t="shared" ref="G49:G55" si="1">F49/8</f>
        <v>3750</v>
      </c>
    </row>
    <row r="50">
      <c r="A50" s="137">
        <v>2.0</v>
      </c>
      <c r="B50" s="138" t="s">
        <v>707</v>
      </c>
      <c r="C50" s="139">
        <v>3.0</v>
      </c>
      <c r="D50" s="139">
        <v>50.0</v>
      </c>
      <c r="E50" s="140">
        <f t="shared" ref="E50:E51" si="2">D50*80</f>
        <v>4000</v>
      </c>
      <c r="F50" s="141">
        <f t="shared" ref="F50:F52" si="3">E50/3</f>
        <v>1333.333333</v>
      </c>
      <c r="G50" s="142">
        <f t="shared" si="1"/>
        <v>166.6666667</v>
      </c>
    </row>
    <row r="51">
      <c r="A51" s="137">
        <v>3.0</v>
      </c>
      <c r="B51" s="138" t="s">
        <v>708</v>
      </c>
      <c r="C51" s="139">
        <v>3.0</v>
      </c>
      <c r="D51" s="139">
        <v>50.0</v>
      </c>
      <c r="E51" s="140">
        <f t="shared" si="2"/>
        <v>4000</v>
      </c>
      <c r="F51" s="141">
        <f t="shared" si="3"/>
        <v>1333.333333</v>
      </c>
      <c r="G51" s="142">
        <f t="shared" si="1"/>
        <v>166.6666667</v>
      </c>
    </row>
    <row r="52">
      <c r="A52" s="137">
        <v>4.0</v>
      </c>
      <c r="B52" s="138" t="s">
        <v>709</v>
      </c>
      <c r="C52" s="139">
        <v>3.0</v>
      </c>
      <c r="D52" s="139">
        <v>1.0</v>
      </c>
      <c r="E52" s="140">
        <v>3600.0</v>
      </c>
      <c r="F52" s="141">
        <f t="shared" si="3"/>
        <v>1200</v>
      </c>
      <c r="G52" s="142">
        <f t="shared" si="1"/>
        <v>150</v>
      </c>
    </row>
    <row r="53">
      <c r="A53" s="137">
        <v>5.0</v>
      </c>
      <c r="B53" s="138" t="s">
        <v>710</v>
      </c>
      <c r="C53" s="139">
        <v>5.0</v>
      </c>
      <c r="D53" s="139">
        <v>2.0</v>
      </c>
      <c r="E53" s="140">
        <f>D53*500</f>
        <v>1000</v>
      </c>
      <c r="F53" s="141">
        <f t="shared" ref="F53:F54" si="4">E53/C53</f>
        <v>200</v>
      </c>
      <c r="G53" s="142">
        <f t="shared" si="1"/>
        <v>25</v>
      </c>
    </row>
    <row r="54">
      <c r="A54" s="137">
        <v>6.0</v>
      </c>
      <c r="B54" s="138" t="s">
        <v>711</v>
      </c>
      <c r="C54" s="139">
        <v>3.0</v>
      </c>
      <c r="D54" s="139">
        <v>2.0</v>
      </c>
      <c r="E54" s="140">
        <f>D54*1200</f>
        <v>2400</v>
      </c>
      <c r="F54" s="141">
        <f t="shared" si="4"/>
        <v>800</v>
      </c>
      <c r="G54" s="142">
        <f t="shared" si="1"/>
        <v>100</v>
      </c>
    </row>
    <row r="55">
      <c r="A55" s="137">
        <v>7.0</v>
      </c>
      <c r="B55" s="138" t="s">
        <v>744</v>
      </c>
      <c r="C55" s="139">
        <v>5.0</v>
      </c>
      <c r="D55" s="139">
        <v>1.0</v>
      </c>
      <c r="E55" s="140">
        <v>20000.0</v>
      </c>
      <c r="F55" s="141">
        <f>E55/5</f>
        <v>4000</v>
      </c>
      <c r="G55" s="142">
        <f t="shared" si="1"/>
        <v>500</v>
      </c>
    </row>
    <row r="56">
      <c r="A56" s="143"/>
      <c r="B56" s="144" t="s">
        <v>312</v>
      </c>
      <c r="C56" s="145"/>
      <c r="D56" s="145"/>
      <c r="E56" s="146">
        <f t="shared" ref="E56:G56" si="5">SUM(E49:E55)</f>
        <v>335000</v>
      </c>
      <c r="F56" s="146">
        <f t="shared" si="5"/>
        <v>38866.66667</v>
      </c>
      <c r="G56" s="147">
        <f t="shared" si="5"/>
        <v>4858.333333</v>
      </c>
    </row>
    <row r="57">
      <c r="A57" s="148"/>
      <c r="B57" s="148"/>
      <c r="C57" s="148"/>
      <c r="D57" s="148"/>
      <c r="E57" s="148"/>
      <c r="F57" s="148"/>
      <c r="G57" s="148"/>
    </row>
    <row r="58">
      <c r="A58" s="149" t="s">
        <v>64</v>
      </c>
      <c r="B58" s="150" t="s">
        <v>704</v>
      </c>
      <c r="C58" s="150" t="s">
        <v>738</v>
      </c>
      <c r="D58" s="150" t="s">
        <v>745</v>
      </c>
      <c r="E58" s="151" t="s">
        <v>739</v>
      </c>
      <c r="F58" s="148"/>
      <c r="G58" s="148"/>
    </row>
    <row r="59">
      <c r="A59" s="137">
        <v>1.0</v>
      </c>
      <c r="B59" s="138" t="s">
        <v>746</v>
      </c>
      <c r="C59" s="140">
        <v>1000.0</v>
      </c>
      <c r="D59" s="140">
        <v>55.0</v>
      </c>
      <c r="E59" s="142">
        <f t="shared" ref="E59:E68" si="6">C59*D59</f>
        <v>55000</v>
      </c>
      <c r="F59" s="148"/>
      <c r="G59" s="148"/>
    </row>
    <row r="60">
      <c r="A60" s="137">
        <v>2.0</v>
      </c>
      <c r="B60" s="138" t="s">
        <v>747</v>
      </c>
      <c r="C60" s="140">
        <v>3000.0</v>
      </c>
      <c r="D60" s="140">
        <v>73.0</v>
      </c>
      <c r="E60" s="142">
        <f t="shared" si="6"/>
        <v>219000</v>
      </c>
      <c r="F60" s="148"/>
      <c r="G60" s="148"/>
    </row>
    <row r="61">
      <c r="A61" s="137">
        <v>3.0</v>
      </c>
      <c r="B61" s="138" t="s">
        <v>716</v>
      </c>
      <c r="C61" s="140">
        <v>1.0</v>
      </c>
      <c r="D61" s="140">
        <v>8000.0</v>
      </c>
      <c r="E61" s="142">
        <f t="shared" si="6"/>
        <v>8000</v>
      </c>
      <c r="F61" s="148"/>
      <c r="G61" s="148"/>
    </row>
    <row r="62">
      <c r="A62" s="137">
        <v>4.0</v>
      </c>
      <c r="B62" s="138" t="s">
        <v>717</v>
      </c>
      <c r="C62" s="140">
        <v>1.0</v>
      </c>
      <c r="D62" s="140">
        <v>600.0</v>
      </c>
      <c r="E62" s="142">
        <f t="shared" si="6"/>
        <v>600</v>
      </c>
      <c r="F62" s="148"/>
      <c r="G62" s="148"/>
    </row>
    <row r="63">
      <c r="A63" s="137">
        <v>5.0</v>
      </c>
      <c r="B63" s="138" t="s">
        <v>718</v>
      </c>
      <c r="C63" s="140">
        <v>1.0</v>
      </c>
      <c r="D63" s="140">
        <v>2500.0</v>
      </c>
      <c r="E63" s="142">
        <f t="shared" si="6"/>
        <v>2500</v>
      </c>
      <c r="F63" s="148"/>
      <c r="G63" s="148"/>
    </row>
    <row r="64">
      <c r="A64" s="137">
        <v>6.0</v>
      </c>
      <c r="B64" s="138" t="s">
        <v>719</v>
      </c>
      <c r="C64" s="140">
        <v>1.0</v>
      </c>
      <c r="D64" s="140">
        <v>3000.0</v>
      </c>
      <c r="E64" s="142">
        <f t="shared" si="6"/>
        <v>3000</v>
      </c>
      <c r="F64" s="148"/>
      <c r="G64" s="148"/>
    </row>
    <row r="65">
      <c r="A65" s="137">
        <v>7.0</v>
      </c>
      <c r="B65" s="138" t="s">
        <v>720</v>
      </c>
      <c r="C65" s="140">
        <v>1.0</v>
      </c>
      <c r="D65" s="140">
        <v>3500.0</v>
      </c>
      <c r="E65" s="142">
        <f t="shared" si="6"/>
        <v>3500</v>
      </c>
      <c r="F65" s="148"/>
      <c r="G65" s="148"/>
    </row>
    <row r="66">
      <c r="A66" s="137">
        <v>8.0</v>
      </c>
      <c r="B66" s="138" t="s">
        <v>760</v>
      </c>
      <c r="C66" s="140">
        <v>1.0</v>
      </c>
      <c r="D66" s="141">
        <f>G56</f>
        <v>4858.333333</v>
      </c>
      <c r="E66" s="142">
        <f t="shared" si="6"/>
        <v>4858.333333</v>
      </c>
      <c r="F66" s="148"/>
      <c r="G66" s="153"/>
    </row>
    <row r="67">
      <c r="A67" s="137">
        <v>9.0</v>
      </c>
      <c r="B67" s="138" t="s">
        <v>721</v>
      </c>
      <c r="C67" s="140">
        <v>1.0</v>
      </c>
      <c r="D67" s="141">
        <v>5000.0</v>
      </c>
      <c r="E67" s="142">
        <f t="shared" si="6"/>
        <v>5000</v>
      </c>
      <c r="F67" s="148"/>
      <c r="G67" s="153"/>
    </row>
    <row r="68">
      <c r="A68" s="137">
        <v>10.0</v>
      </c>
      <c r="B68" s="138" t="s">
        <v>722</v>
      </c>
      <c r="C68" s="140">
        <v>1.0</v>
      </c>
      <c r="D68" s="140">
        <v>2500.0</v>
      </c>
      <c r="E68" s="142">
        <f t="shared" si="6"/>
        <v>2500</v>
      </c>
      <c r="F68" s="148"/>
      <c r="G68" s="148"/>
    </row>
    <row r="69">
      <c r="A69" s="143"/>
      <c r="B69" s="145"/>
      <c r="C69" s="145"/>
      <c r="D69" s="145"/>
      <c r="E69" s="147">
        <f>SUM(E59:E68)</f>
        <v>303958.3333</v>
      </c>
      <c r="F69" s="148"/>
      <c r="G69" s="153"/>
    </row>
    <row r="70">
      <c r="A70" s="148"/>
      <c r="B70" s="148"/>
      <c r="C70" s="148"/>
      <c r="D70" s="148"/>
      <c r="E70" s="148"/>
      <c r="F70" s="148"/>
      <c r="G70" s="148"/>
    </row>
    <row r="71">
      <c r="A71" s="148"/>
      <c r="B71" s="149" t="s">
        <v>775</v>
      </c>
      <c r="C71" s="154">
        <v>970.0</v>
      </c>
      <c r="D71" s="148"/>
      <c r="E71" s="148"/>
      <c r="F71" s="148"/>
      <c r="G71" s="148"/>
    </row>
    <row r="72">
      <c r="A72" s="148"/>
      <c r="B72" s="155" t="s">
        <v>777</v>
      </c>
      <c r="C72" s="156">
        <f>C71*2</f>
        <v>1940</v>
      </c>
      <c r="D72" s="148"/>
      <c r="E72" s="148"/>
      <c r="F72" s="148"/>
      <c r="G72" s="148"/>
    </row>
    <row r="73">
      <c r="A73" s="148"/>
      <c r="B73" s="155" t="s">
        <v>739</v>
      </c>
      <c r="C73" s="142">
        <f>E69</f>
        <v>303958.3333</v>
      </c>
      <c r="D73" s="148"/>
      <c r="E73" s="148"/>
      <c r="F73" s="148"/>
      <c r="G73" s="148"/>
    </row>
    <row r="74">
      <c r="A74" s="148"/>
      <c r="B74" s="157" t="s">
        <v>786</v>
      </c>
      <c r="C74" s="158">
        <f>C73/C72</f>
        <v>156.6795533</v>
      </c>
      <c r="D74" s="148"/>
      <c r="E74" s="148"/>
      <c r="F74" s="148"/>
      <c r="G74" s="14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3" max="3" width="8.38"/>
    <col customWidth="1" min="4" max="4" width="9.38"/>
  </cols>
  <sheetData>
    <row r="4">
      <c r="A4" s="5" t="s">
        <v>748</v>
      </c>
    </row>
    <row r="5">
      <c r="A5" s="5" t="s">
        <v>749</v>
      </c>
      <c r="B5" s="34" t="s">
        <v>738</v>
      </c>
      <c r="C5" s="34" t="s">
        <v>750</v>
      </c>
      <c r="D5" s="34" t="s">
        <v>751</v>
      </c>
      <c r="G5" s="5" t="s">
        <v>752</v>
      </c>
    </row>
    <row r="6">
      <c r="A6" s="5" t="s">
        <v>753</v>
      </c>
      <c r="B6" s="5">
        <v>1050.0</v>
      </c>
      <c r="C6" s="5">
        <v>25.0</v>
      </c>
      <c r="D6" s="5">
        <v>26250.0</v>
      </c>
    </row>
    <row r="7">
      <c r="A7" s="5" t="s">
        <v>754</v>
      </c>
      <c r="B7" s="5">
        <v>1750.0</v>
      </c>
      <c r="C7" s="5">
        <v>55.0</v>
      </c>
      <c r="D7" s="5">
        <v>96250.0</v>
      </c>
    </row>
    <row r="8">
      <c r="A8" s="5" t="s">
        <v>755</v>
      </c>
      <c r="B8" s="5">
        <v>3600.0</v>
      </c>
      <c r="C8" s="5">
        <v>54.0</v>
      </c>
      <c r="D8" s="5">
        <v>194400.0</v>
      </c>
    </row>
    <row r="9">
      <c r="A9" s="5" t="s">
        <v>756</v>
      </c>
      <c r="B9" s="5">
        <v>5350.0</v>
      </c>
      <c r="D9" s="5">
        <v>290650.0</v>
      </c>
      <c r="I9" s="152"/>
    </row>
    <row r="10">
      <c r="A10" s="5" t="s">
        <v>757</v>
      </c>
      <c r="B10" s="5">
        <v>5.1</v>
      </c>
    </row>
    <row r="11">
      <c r="A11" s="5" t="s">
        <v>758</v>
      </c>
      <c r="B11" s="5">
        <v>1000.0</v>
      </c>
      <c r="C11" s="5">
        <v>320.0</v>
      </c>
    </row>
    <row r="12">
      <c r="A12" s="5" t="s">
        <v>744</v>
      </c>
      <c r="B12" s="5">
        <v>1000.0</v>
      </c>
      <c r="C12" s="5">
        <v>60.0</v>
      </c>
    </row>
    <row r="13">
      <c r="A13" s="5" t="s">
        <v>716</v>
      </c>
      <c r="B13" s="5">
        <v>1000.0</v>
      </c>
      <c r="C13" s="5">
        <v>6.0</v>
      </c>
      <c r="D13" s="5">
        <v>6000.0</v>
      </c>
    </row>
    <row r="14">
      <c r="A14" s="5" t="s">
        <v>759</v>
      </c>
      <c r="B14" s="5">
        <v>1000.0</v>
      </c>
      <c r="C14" s="5">
        <v>30.0</v>
      </c>
      <c r="D14" s="5">
        <v>30000.0</v>
      </c>
    </row>
    <row r="15">
      <c r="A15" s="5" t="s">
        <v>761</v>
      </c>
      <c r="B15" s="5">
        <v>1000.0</v>
      </c>
      <c r="C15" s="5">
        <v>45.0</v>
      </c>
      <c r="D15" s="5">
        <v>45000.0</v>
      </c>
    </row>
    <row r="16">
      <c r="A16" s="5" t="s">
        <v>762</v>
      </c>
      <c r="B16" s="5">
        <v>1000.0</v>
      </c>
      <c r="C16" s="5">
        <v>5.0</v>
      </c>
      <c r="D16" s="5">
        <v>5000.0</v>
      </c>
    </row>
    <row r="17">
      <c r="A17" s="5" t="s">
        <v>721</v>
      </c>
      <c r="B17" s="5">
        <v>4.0</v>
      </c>
      <c r="C17" s="5">
        <v>8000.0</v>
      </c>
      <c r="D17" s="5">
        <v>32000.0</v>
      </c>
    </row>
    <row r="18">
      <c r="A18" s="5" t="s">
        <v>718</v>
      </c>
      <c r="B18" s="5">
        <v>4.0</v>
      </c>
      <c r="C18" s="5">
        <v>2000.0</v>
      </c>
      <c r="D18" s="5">
        <v>8000.0</v>
      </c>
    </row>
    <row r="19">
      <c r="A19" s="5" t="s">
        <v>763</v>
      </c>
      <c r="B19" s="5">
        <v>4.0</v>
      </c>
      <c r="C19" s="5">
        <v>2000.0</v>
      </c>
      <c r="D19" s="5">
        <v>8000.0</v>
      </c>
    </row>
    <row r="20">
      <c r="A20" s="5" t="s">
        <v>764</v>
      </c>
    </row>
    <row r="21">
      <c r="A21" s="5" t="s">
        <v>765</v>
      </c>
      <c r="B21" s="5">
        <v>4.0</v>
      </c>
      <c r="C21" s="5">
        <v>2200.0</v>
      </c>
      <c r="D21" s="5">
        <v>8800.0</v>
      </c>
    </row>
    <row r="22">
      <c r="A22" s="5" t="s">
        <v>766</v>
      </c>
      <c r="B22" s="5">
        <v>4.0</v>
      </c>
      <c r="C22" s="5">
        <v>1250.0</v>
      </c>
      <c r="D22" s="5">
        <v>5000.0</v>
      </c>
    </row>
    <row r="23">
      <c r="A23" s="5" t="s">
        <v>767</v>
      </c>
      <c r="B23" s="5">
        <v>4.0</v>
      </c>
      <c r="C23" s="5">
        <v>1000.0</v>
      </c>
      <c r="D23" s="5">
        <v>4000.0</v>
      </c>
    </row>
    <row r="24">
      <c r="A24" s="5" t="s">
        <v>329</v>
      </c>
      <c r="B24" s="5">
        <v>4.0</v>
      </c>
      <c r="C24" s="5">
        <v>1000.0</v>
      </c>
      <c r="D24" s="5">
        <v>4000.0</v>
      </c>
    </row>
    <row r="25">
      <c r="A25" s="5" t="s">
        <v>768</v>
      </c>
      <c r="D25" s="5">
        <v>155800.0</v>
      </c>
    </row>
    <row r="26">
      <c r="A26" s="5" t="s">
        <v>769</v>
      </c>
      <c r="D26" s="5">
        <v>472700.0</v>
      </c>
    </row>
    <row r="27">
      <c r="A27" s="5" t="s">
        <v>770</v>
      </c>
      <c r="D27" s="5">
        <v>472.7</v>
      </c>
    </row>
    <row r="29">
      <c r="A29" s="5" t="s">
        <v>771</v>
      </c>
      <c r="B29" s="34" t="s">
        <v>738</v>
      </c>
      <c r="C29" s="34" t="s">
        <v>750</v>
      </c>
      <c r="D29" s="34" t="s">
        <v>751</v>
      </c>
    </row>
    <row r="30">
      <c r="A30" s="5" t="s">
        <v>772</v>
      </c>
      <c r="B30" s="5">
        <v>60480.0</v>
      </c>
      <c r="C30" s="5">
        <v>52.0</v>
      </c>
      <c r="D30" s="5">
        <v>3144960.0</v>
      </c>
    </row>
    <row r="31">
      <c r="A31" s="5" t="s">
        <v>773</v>
      </c>
      <c r="B31" s="5">
        <v>65830.0</v>
      </c>
      <c r="D31" s="5">
        <v>3435610.0</v>
      </c>
    </row>
    <row r="32">
      <c r="A32" s="5" t="s">
        <v>757</v>
      </c>
      <c r="B32" s="5">
        <v>65.83</v>
      </c>
    </row>
    <row r="33">
      <c r="A33" s="5" t="s">
        <v>758</v>
      </c>
      <c r="B33" s="5">
        <v>1000.0</v>
      </c>
      <c r="C33" s="5">
        <v>320.0</v>
      </c>
    </row>
    <row r="34">
      <c r="A34" s="5" t="s">
        <v>774</v>
      </c>
      <c r="B34" s="5">
        <v>1000.0</v>
      </c>
      <c r="C34" s="5">
        <v>150.0</v>
      </c>
    </row>
    <row r="35">
      <c r="A35" s="5" t="s">
        <v>759</v>
      </c>
      <c r="B35" s="5">
        <v>1000.0</v>
      </c>
      <c r="C35" s="5">
        <v>157.0</v>
      </c>
      <c r="D35" s="5">
        <v>157000.0</v>
      </c>
    </row>
    <row r="36">
      <c r="A36" s="5" t="s">
        <v>761</v>
      </c>
      <c r="B36" s="5">
        <v>1000.0</v>
      </c>
      <c r="C36" s="5">
        <v>12.0</v>
      </c>
      <c r="D36" s="5">
        <v>12000.0</v>
      </c>
    </row>
    <row r="37">
      <c r="A37" s="5" t="s">
        <v>721</v>
      </c>
      <c r="B37" s="5">
        <v>18.0</v>
      </c>
      <c r="C37" s="5">
        <v>8000.0</v>
      </c>
      <c r="D37" s="5">
        <v>144000.0</v>
      </c>
    </row>
    <row r="38">
      <c r="A38" s="5" t="s">
        <v>718</v>
      </c>
      <c r="B38" s="5">
        <v>18.0</v>
      </c>
      <c r="C38" s="5">
        <v>2000.0</v>
      </c>
      <c r="D38" s="5">
        <v>36000.0</v>
      </c>
    </row>
    <row r="39">
      <c r="A39" s="5" t="s">
        <v>763</v>
      </c>
      <c r="B39" s="5">
        <v>18.0</v>
      </c>
      <c r="C39" s="5">
        <v>2000.0</v>
      </c>
      <c r="D39" s="5">
        <v>36000.0</v>
      </c>
    </row>
    <row r="40">
      <c r="A40" s="5" t="s">
        <v>764</v>
      </c>
    </row>
    <row r="41">
      <c r="A41" s="5" t="s">
        <v>765</v>
      </c>
      <c r="B41" s="5">
        <v>18.0</v>
      </c>
      <c r="C41" s="5">
        <v>2200.0</v>
      </c>
      <c r="D41" s="5">
        <v>39600.0</v>
      </c>
    </row>
    <row r="42">
      <c r="A42" s="5" t="s">
        <v>776</v>
      </c>
      <c r="B42" s="5">
        <v>18.0</v>
      </c>
      <c r="C42" s="5">
        <v>695.0</v>
      </c>
      <c r="D42" s="5">
        <v>12510.0</v>
      </c>
    </row>
    <row r="43">
      <c r="A43" s="5" t="s">
        <v>767</v>
      </c>
      <c r="B43" s="5">
        <v>18.0</v>
      </c>
      <c r="C43" s="5">
        <v>1000.0</v>
      </c>
      <c r="D43" s="5">
        <v>18000.0</v>
      </c>
    </row>
    <row r="44">
      <c r="A44" s="5" t="s">
        <v>329</v>
      </c>
      <c r="B44" s="5">
        <v>18.0</v>
      </c>
      <c r="C44" s="5">
        <v>1000.0</v>
      </c>
      <c r="D44" s="5">
        <v>18000.0</v>
      </c>
    </row>
    <row r="45">
      <c r="A45" s="5" t="s">
        <v>778</v>
      </c>
      <c r="D45" s="5">
        <v>473110.0</v>
      </c>
    </row>
    <row r="46">
      <c r="A46" s="5" t="s">
        <v>779</v>
      </c>
      <c r="D46" s="5">
        <v>3618070.0</v>
      </c>
    </row>
    <row r="47">
      <c r="A47" s="5" t="s">
        <v>780</v>
      </c>
      <c r="D47" s="5">
        <v>4090770.0</v>
      </c>
    </row>
    <row r="48">
      <c r="A48" s="5" t="s">
        <v>770</v>
      </c>
      <c r="D48" s="5">
        <v>4090.77</v>
      </c>
    </row>
    <row r="51">
      <c r="A51" s="5" t="s">
        <v>781</v>
      </c>
    </row>
    <row r="52">
      <c r="A52" s="5" t="s">
        <v>782</v>
      </c>
      <c r="B52" s="30" t="str">
        <f/>
        <v>#ERROR!</v>
      </c>
      <c r="C52" s="5">
        <v>2693480.0</v>
      </c>
    </row>
    <row r="53">
      <c r="A53" s="5" t="s">
        <v>783</v>
      </c>
      <c r="B53" s="30" t="str">
        <f/>
        <v>#ERROR!</v>
      </c>
      <c r="C53" s="5">
        <v>75000.0</v>
      </c>
    </row>
    <row r="54">
      <c r="A54" s="5" t="s">
        <v>784</v>
      </c>
      <c r="B54" s="30" t="str">
        <f/>
        <v>#ERROR!</v>
      </c>
      <c r="C54" s="5">
        <v>399000.0</v>
      </c>
    </row>
    <row r="55">
      <c r="A55" s="5" t="s">
        <v>785</v>
      </c>
      <c r="B55" s="30" t="str">
        <f/>
        <v>#ERROR!</v>
      </c>
      <c r="C55" s="5">
        <v>14300.0</v>
      </c>
    </row>
    <row r="56">
      <c r="A56" s="5" t="s">
        <v>312</v>
      </c>
      <c r="B56" s="30" t="str">
        <f/>
        <v>#ERROR!</v>
      </c>
      <c r="C56" s="152">
        <v>3181780.0</v>
      </c>
    </row>
    <row r="58">
      <c r="A58" s="5" t="s">
        <v>787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36.63"/>
  </cols>
  <sheetData>
    <row r="1">
      <c r="A1" s="5" t="s">
        <v>789</v>
      </c>
    </row>
    <row r="3">
      <c r="A3" s="159">
        <v>1.0</v>
      </c>
      <c r="B3" s="160" t="s">
        <v>790</v>
      </c>
      <c r="C3" s="161"/>
    </row>
    <row r="4">
      <c r="A4" s="162"/>
      <c r="B4" s="161"/>
      <c r="C4" s="161"/>
    </row>
    <row r="5">
      <c r="A5" s="159">
        <v>2.0</v>
      </c>
      <c r="B5" s="160" t="s">
        <v>791</v>
      </c>
      <c r="C5" s="160" t="s">
        <v>792</v>
      </c>
    </row>
    <row r="6">
      <c r="A6" s="162"/>
      <c r="B6" s="161"/>
      <c r="C6" s="160" t="s">
        <v>24</v>
      </c>
    </row>
    <row r="7">
      <c r="A7" s="162"/>
      <c r="B7" s="161"/>
      <c r="C7" s="160" t="s">
        <v>793</v>
      </c>
    </row>
    <row r="8">
      <c r="A8" s="162"/>
      <c r="B8" s="161"/>
      <c r="C8" s="160" t="s">
        <v>794</v>
      </c>
    </row>
    <row r="9">
      <c r="A9" s="162"/>
      <c r="B9" s="161"/>
      <c r="C9" s="160" t="s">
        <v>795</v>
      </c>
    </row>
    <row r="10">
      <c r="A10" s="162"/>
      <c r="B10" s="161"/>
      <c r="C10" s="161"/>
    </row>
    <row r="11">
      <c r="A11" s="162"/>
      <c r="B11" s="161"/>
      <c r="C11" s="161"/>
    </row>
    <row r="12">
      <c r="A12" s="159">
        <v>3.0</v>
      </c>
      <c r="B12" s="160" t="s">
        <v>796</v>
      </c>
      <c r="C12" s="160" t="s">
        <v>23</v>
      </c>
    </row>
    <row r="13">
      <c r="A13" s="162"/>
      <c r="B13" s="161"/>
      <c r="C13" s="160" t="s">
        <v>69</v>
      </c>
    </row>
    <row r="14">
      <c r="A14" s="162"/>
      <c r="B14" s="161"/>
      <c r="C14" s="160" t="s">
        <v>24</v>
      </c>
    </row>
    <row r="15">
      <c r="A15" s="162"/>
      <c r="B15" s="161"/>
      <c r="C15" s="160" t="s">
        <v>797</v>
      </c>
    </row>
    <row r="16">
      <c r="A16" s="162"/>
      <c r="B16" s="161"/>
      <c r="C16" s="160" t="s">
        <v>798</v>
      </c>
    </row>
    <row r="17">
      <c r="A17" s="162"/>
      <c r="B17" s="161"/>
      <c r="C17" s="160" t="s">
        <v>799</v>
      </c>
    </row>
    <row r="18">
      <c r="A18" s="162"/>
      <c r="B18" s="161"/>
      <c r="C18" s="160" t="s">
        <v>800</v>
      </c>
    </row>
    <row r="19">
      <c r="A19" s="162"/>
      <c r="B19" s="161"/>
      <c r="C19" s="161"/>
    </row>
    <row r="20">
      <c r="A20" s="159">
        <v>4.0</v>
      </c>
      <c r="B20" s="160" t="s">
        <v>801</v>
      </c>
      <c r="C20" s="160" t="s">
        <v>802</v>
      </c>
    </row>
    <row r="21">
      <c r="A21" s="162"/>
      <c r="B21" s="161"/>
      <c r="C21" s="160" t="s">
        <v>803</v>
      </c>
    </row>
    <row r="22">
      <c r="A22" s="162"/>
      <c r="B22" s="161"/>
      <c r="C22" s="160" t="s">
        <v>804</v>
      </c>
    </row>
    <row r="23">
      <c r="A23" s="162"/>
      <c r="B23" s="161"/>
      <c r="C23" s="160" t="s">
        <v>805</v>
      </c>
    </row>
    <row r="24">
      <c r="A24" s="162"/>
      <c r="B24" s="161"/>
      <c r="C24" s="161"/>
    </row>
    <row r="25">
      <c r="A25" s="159">
        <v>5.0</v>
      </c>
      <c r="B25" s="160" t="s">
        <v>806</v>
      </c>
      <c r="C25" s="160" t="s">
        <v>807</v>
      </c>
    </row>
    <row r="26">
      <c r="A26" s="162"/>
      <c r="B26" s="161"/>
      <c r="C26" s="161"/>
    </row>
    <row r="27">
      <c r="A27" s="159">
        <v>6.0</v>
      </c>
      <c r="B27" s="160" t="s">
        <v>808</v>
      </c>
      <c r="C27" s="160" t="s">
        <v>807</v>
      </c>
    </row>
  </sheetData>
  <drawing r:id="rId1"/>
</worksheet>
</file>